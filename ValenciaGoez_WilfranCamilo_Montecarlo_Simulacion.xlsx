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 y Parámetros" sheetId="1" state="visible" r:id="rId1"/>
    <sheet xmlns:r="http://schemas.openxmlformats.org/officeDocument/2006/relationships" name="Cadena de Markov" sheetId="2" state="visible" r:id="rId2"/>
    <sheet xmlns:r="http://schemas.openxmlformats.org/officeDocument/2006/relationships" name="Simulación Turnos Dinámicos" sheetId="3" state="visible" r:id="rId3"/>
    <sheet xmlns:r="http://schemas.openxmlformats.org/officeDocument/2006/relationships" name="Scorecard 2 Jugadores" sheetId="4" state="visible" r:id="rId4"/>
    <sheet xmlns:r="http://schemas.openxmlformats.org/officeDocument/2006/relationships" name="Estadísticas Monte Carl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00&quot;%&quot;"/>
  </numFmts>
  <fonts count="7">
    <font>
      <name val="Calibri"/>
      <family val="2"/>
      <color theme="1"/>
      <sz val="11"/>
      <scheme val="minor"/>
    </font>
    <font>
      <name val="Calibri"/>
      <b val="1"/>
      <color rgb="00334155"/>
      <sz val="12"/>
    </font>
    <font>
      <name val="Calibri"/>
      <b val="1"/>
      <color rgb="001E3A8A"/>
      <sz val="16"/>
    </font>
    <font>
      <name val="Calibri"/>
      <b val="1"/>
      <color rgb="000F172A"/>
      <sz val="11"/>
    </font>
    <font>
      <name val="Calibri"/>
      <color rgb="001E293B"/>
      <sz val="11"/>
    </font>
    <font>
      <name val="Calibri"/>
      <b val="1"/>
      <color rgb="00FFFFFF"/>
      <sz val="11"/>
    </font>
    <font>
      <name val="Calibri"/>
      <i val="1"/>
      <color rgb="0064748B"/>
      <sz val="10"/>
    </font>
  </fonts>
  <fills count="6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0" borderId="1" pivotButton="0" quotePrefix="0" xfId="0"/>
    <xf numFmtId="164" fontId="0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8" customWidth="1" min="2" max="2"/>
    <col width="76" customWidth="1" min="3" max="3"/>
  </cols>
  <sheetData>
    <row r="1"/>
    <row r="2">
      <c r="B2" s="1" t="inlineStr">
        <is>
          <t>UNIVERSIDAD - ASIGNATURA DE SIMULACIÓN</t>
        </is>
      </c>
    </row>
    <row r="3">
      <c r="B3" s="2" t="inlineStr">
        <is>
          <t>MODELO DE SIMULACIÓN MONTE CARLO Y CADENAS DE MARKOV: JUEGO YAHTZEE (2 JUGADORES)</t>
        </is>
      </c>
    </row>
    <row r="4"/>
    <row r="5"/>
    <row r="6">
      <c r="B6" s="3" t="inlineStr">
        <is>
          <t>Estudiante / Autor:</t>
        </is>
      </c>
      <c r="C6" s="4" t="inlineStr">
        <is>
          <t>[Nombre y Apellido del Estudiante]</t>
        </is>
      </c>
    </row>
    <row r="7">
      <c r="B7" s="3" t="inlineStr">
        <is>
          <t>Actividad Didáctica:</t>
        </is>
      </c>
      <c r="C7" s="4" t="inlineStr">
        <is>
          <t>Actividad 2 - M1: Simulación de Yahtzee</t>
        </is>
      </c>
    </row>
    <row r="8">
      <c r="B8" s="3" t="inlineStr">
        <is>
          <t>Tipo de Proceso:</t>
        </is>
      </c>
      <c r="C8" s="4" t="inlineStr">
        <is>
          <t>Estocástico Discreto (Cadenas de Markov de Tiempo Discreto + Monte Carlo)</t>
        </is>
      </c>
    </row>
    <row r="9">
      <c r="B9" s="3" t="inlineStr">
        <is>
          <t>Distribución de Probabilidad:</t>
        </is>
      </c>
      <c r="C9" s="4" t="inlineStr">
        <is>
          <t>Uniforme Discreta U{1, 6} (Dados convencionales de 6 caras)</t>
        </is>
      </c>
    </row>
    <row r="10">
      <c r="B10" s="3" t="inlineStr">
        <is>
          <t>Probabilidad por cara:</t>
        </is>
      </c>
      <c r="C10" s="4">
        <f>1/6 (16.6667%)</f>
        <v/>
      </c>
    </row>
    <row r="11">
      <c r="B11" s="3" t="inlineStr">
        <is>
          <t>Espacio Muestral (5 dados):</t>
        </is>
      </c>
      <c r="C11" s="4">
        <f>6^5 = 7,776 eventos elementales equiprobables</f>
        <v/>
      </c>
    </row>
    <row r="12">
      <c r="B12" s="3" t="inlineStr">
        <is>
          <t>Número de Jugadores:</t>
        </is>
      </c>
      <c r="C12" s="4" t="inlineStr">
        <is>
          <t>2 Jugadores (Turnos alternados, 13 rondas por jugador)</t>
        </is>
      </c>
    </row>
    <row r="13">
      <c r="B13" s="3" t="inlineStr">
        <is>
          <t>Regla de Lanzamientos:</t>
        </is>
      </c>
      <c r="C13" s="4" t="inlineStr">
        <is>
          <t>Hasta 3 lanzamientos por turno con retención selectiva</t>
        </is>
      </c>
    </row>
    <row r="14"/>
    <row r="15"/>
    <row r="16">
      <c r="B16" s="1" t="inlineStr">
        <is>
          <t>JUSTIFICACIÓN MATEMÁTICA DEL MODELO</t>
        </is>
      </c>
    </row>
    <row r="17"/>
    <row r="18">
      <c r="B18" s="5" t="inlineStr">
        <is>
          <t>1. Distribución Uniforme Discreta: Cada dado i ∈ {1..5} sigue X_i ~ U{1, 6}, con P(X_i = k) = 1/6 para k ∈ {1,2,3,4,5,6}.</t>
        </is>
      </c>
    </row>
    <row r="19">
      <c r="B19" s="5" t="inlineStr">
        <is>
          <t>2. Independencia Estocástica: Los 5 dados son mutuamente independientes en cada lanzamiento: P(X_1=k_1, ..., X_5=k_5) = (1/6)^5 = 1/7776.</t>
        </is>
      </c>
    </row>
    <row r="20">
      <c r="B20" s="5" t="inlineStr">
        <is>
          <t>3. Propiedad de Markov: En las decisiones de relanzamiento, la distribución del siguiente estado X_{t+1} depende únicamente del estado actual X_t</t>
        </is>
      </c>
    </row>
    <row r="21">
      <c r="B21" s="5" t="inlineStr">
        <is>
          <t xml:space="preserve">   (número de dados coincidentes retenidos), cumpliendo P(X_{t+1} = j | X_t = i, ..., X_0) = P(X_{t+1} = j | X_t = i).</t>
        </is>
      </c>
    </row>
    <row r="22">
      <c r="B22" s="5" t="inlineStr">
        <is>
          <t>4. Simulación Monte Carlo: Permite estimar la esperanza matemática y varianza de los puntajes finales de 2 jugadores tras miles de partidas.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0" customWidth="1" min="2" max="2"/>
    <col width="37" customWidth="1" min="3" max="3"/>
    <col width="37" customWidth="1" min="4" max="4"/>
    <col width="37" customWidth="1" min="5" max="5"/>
    <col width="37" customWidth="1" min="6" max="6"/>
    <col width="37" customWidth="1" min="7" max="7"/>
    <col width="21" customWidth="1" min="8" max="8"/>
  </cols>
  <sheetData>
    <row r="1"/>
    <row r="2">
      <c r="B2" s="2" t="inlineStr">
        <is>
          <t>MODELO DE CADENAS DE MARKOV DE TIEMPO DISCRETO (DTMC) PARA YAHTZEE</t>
        </is>
      </c>
    </row>
    <row r="3">
      <c r="B3" s="1" t="inlineStr">
        <is>
          <t>Espacio de Estados S = {E1: 1 dado igual, E2: Pareja, E3: Trío, E4: Póker, E5: Yahtzee (Absorbente)}</t>
        </is>
      </c>
    </row>
    <row r="4"/>
    <row r="5">
      <c r="B5" s="6" t="inlineStr">
        <is>
          <t>MATRIZ DE TRANSICIÓN DE UN PASO P = (p_ij)</t>
        </is>
      </c>
    </row>
    <row r="6">
      <c r="B6" s="7" t="inlineStr">
        <is>
          <t>Estado Actual (i) \ Sig (j)</t>
        </is>
      </c>
      <c r="C6" s="7" t="inlineStr">
        <is>
          <t>E1 (1)</t>
        </is>
      </c>
      <c r="D6" s="7" t="inlineStr">
        <is>
          <t>E2 (2)</t>
        </is>
      </c>
      <c r="E6" s="7" t="inlineStr">
        <is>
          <t>E3 (3)</t>
        </is>
      </c>
      <c r="F6" s="7" t="inlineStr">
        <is>
          <t>E4 (4)</t>
        </is>
      </c>
      <c r="G6" s="7" t="inlineStr">
        <is>
          <t>E5 (5) [Absorbente]</t>
        </is>
      </c>
      <c r="H6" s="7" t="inlineStr">
        <is>
          <t>Suma Fila (Verif.)</t>
        </is>
      </c>
    </row>
    <row r="7">
      <c r="B7" s="3" t="inlineStr">
        <is>
          <t>E1: 1 dado retenido (Relanza 4)</t>
        </is>
      </c>
      <c r="C7" s="8" t="n">
        <v>0.2222</v>
      </c>
      <c r="D7" s="8" t="n">
        <v>0.463</v>
      </c>
      <c r="E7" s="8" t="n">
        <v>0.2315</v>
      </c>
      <c r="F7" s="8" t="n">
        <v>0.0772</v>
      </c>
      <c r="G7" s="8" t="n">
        <v>0.0062</v>
      </c>
      <c r="H7" s="9">
        <f>SUM(C7:G7)</f>
        <v/>
      </c>
    </row>
    <row r="8">
      <c r="B8" s="3" t="inlineStr">
        <is>
          <t>E2: Pareja retenida (Relanza 3)</t>
        </is>
      </c>
      <c r="C8" s="8" t="n">
        <v>0</v>
      </c>
      <c r="D8" s="8" t="n">
        <v>0.5787</v>
      </c>
      <c r="E8" s="8" t="n">
        <v>0.3472</v>
      </c>
      <c r="F8" s="8" t="n">
        <v>0.0694</v>
      </c>
      <c r="G8" s="8" t="n">
        <v>0.0046</v>
      </c>
      <c r="H8" s="9">
        <f>SUM(C8:G8)</f>
        <v/>
      </c>
    </row>
    <row r="9">
      <c r="B9" s="3" t="inlineStr">
        <is>
          <t>E3: Trío retenido (Relanza 2)</t>
        </is>
      </c>
      <c r="C9" s="8" t="n">
        <v>0</v>
      </c>
      <c r="D9" s="8" t="n">
        <v>0</v>
      </c>
      <c r="E9" s="8" t="n">
        <v>0.6944</v>
      </c>
      <c r="F9" s="8" t="n">
        <v>0.2778</v>
      </c>
      <c r="G9" s="8" t="n">
        <v>0.0278</v>
      </c>
      <c r="H9" s="9">
        <f>SUM(C9:G9)</f>
        <v/>
      </c>
    </row>
    <row r="10">
      <c r="B10" s="3" t="inlineStr">
        <is>
          <t>E4: Póker retenido (Relanza 1)</t>
        </is>
      </c>
      <c r="C10" s="8" t="n">
        <v>0</v>
      </c>
      <c r="D10" s="8" t="n">
        <v>0</v>
      </c>
      <c r="E10" s="8" t="n">
        <v>0</v>
      </c>
      <c r="F10" s="8" t="n">
        <v>0.8333</v>
      </c>
      <c r="G10" s="8" t="n">
        <v>0.1667</v>
      </c>
      <c r="H10" s="9">
        <f>SUM(C10:G10)</f>
        <v/>
      </c>
    </row>
    <row r="11">
      <c r="B11" s="3" t="inlineStr">
        <is>
          <t>E5: Yahtzee [Absorbente]</t>
        </is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1</v>
      </c>
      <c r="H11" s="9">
        <f>SUM(C11:G11)</f>
        <v/>
      </c>
    </row>
    <row r="12"/>
    <row r="13"/>
    <row r="14">
      <c r="B14" s="6" t="inlineStr">
        <is>
          <t>EVOLUCIÓN TEMPORAL DE PROBABILIDADES POR LANZAMIENTO</t>
        </is>
      </c>
    </row>
    <row r="15">
      <c r="B15" s="10" t="inlineStr">
        <is>
          <t>Lanzamiento</t>
        </is>
      </c>
      <c r="C15" s="10" t="inlineStr">
        <is>
          <t>E1 (1 dado)</t>
        </is>
      </c>
      <c r="D15" s="10" t="inlineStr">
        <is>
          <t>E2 (Pareja)</t>
        </is>
      </c>
      <c r="E15" s="10" t="inlineStr">
        <is>
          <t>E3 (Trío)</t>
        </is>
      </c>
      <c r="F15" s="10" t="inlineStr">
        <is>
          <t>E4 (Póker)</t>
        </is>
      </c>
      <c r="G15" s="10" t="inlineStr">
        <is>
          <t>E5 (Yahtzee)</t>
        </is>
      </c>
      <c r="H15" s="10" t="inlineStr">
        <is>
          <t>Prob. Yahtzee (%)</t>
        </is>
      </c>
    </row>
    <row r="16">
      <c r="B16" s="11" t="inlineStr">
        <is>
          <t>Tiro 1: Vector Inicial π^(0)</t>
        </is>
      </c>
      <c r="C16" s="12" t="n">
        <v>0.09259259259259259</v>
      </c>
      <c r="D16" s="12" t="n">
        <v>0.6481481481481481</v>
      </c>
      <c r="E16" s="12" t="n">
        <v>0.2314814814814815</v>
      </c>
      <c r="F16" s="12" t="n">
        <v>0.02700617283950617</v>
      </c>
      <c r="G16" s="12" t="n">
        <v>0.0007716049382716049</v>
      </c>
      <c r="H16" s="13">
        <f>G16*100</f>
        <v/>
      </c>
    </row>
    <row r="17">
      <c r="B17" s="11" t="inlineStr">
        <is>
          <t>Tiro 2: Vector π^(1) = π^(0) · P</t>
        </is>
      </c>
      <c r="C17" s="12">
        <f>SUMPRODUCT($C$16:$G$16, C$7:C$11)</f>
        <v/>
      </c>
      <c r="D17" s="12">
        <f>SUMPRODUCT($C$16:$G$16, D$7:D$11)</f>
        <v/>
      </c>
      <c r="E17" s="12">
        <f>SUMPRODUCT($C$16:$G$16, E$7:E$11)</f>
        <v/>
      </c>
      <c r="F17" s="12">
        <f>SUMPRODUCT($C$16:$G$16, F$7:F$11)</f>
        <v/>
      </c>
      <c r="G17" s="12">
        <f>SUMPRODUCT($C$16:$G$16, G$7:G$11)</f>
        <v/>
      </c>
      <c r="H17" s="13">
        <f>G17*100</f>
        <v/>
      </c>
    </row>
    <row r="18">
      <c r="B18" s="11" t="inlineStr">
        <is>
          <t>Tiro 3: Vector π^(2) = π^(1) · P</t>
        </is>
      </c>
      <c r="C18" s="12">
        <f>SUMPRODUCT($C$17:$G$17, C$7:C$11)</f>
        <v/>
      </c>
      <c r="D18" s="12">
        <f>SUMPRODUCT($C$17:$G$17, D$7:D$11)</f>
        <v/>
      </c>
      <c r="E18" s="12">
        <f>SUMPRODUCT($C$17:$G$17, E$7:E$11)</f>
        <v/>
      </c>
      <c r="F18" s="12">
        <f>SUMPRODUCT($C$17:$G$17, F$7:F$11)</f>
        <v/>
      </c>
      <c r="G18" s="12">
        <f>SUMPRODUCT($C$17:$G$17, G$7:G$11)</f>
        <v/>
      </c>
      <c r="H18" s="14">
        <f>G18*100</f>
        <v/>
      </c>
    </row>
    <row r="19"/>
    <row r="20">
      <c r="B20" s="1" t="inlineStr">
        <is>
          <t>INTERPRETACIÓN DEL MODELO DE MARKOV:</t>
        </is>
      </c>
    </row>
    <row r="21">
      <c r="B21" s="5" t="inlineStr">
        <is>
          <t>• La probabilidad de obtener Yahtzee en el primer lanzamiento con dados equiprobables es de solo 6/7776 = 0.077%.</t>
        </is>
      </c>
    </row>
    <row r="22">
      <c r="B22" s="5" t="inlineStr">
        <is>
          <t>• Al aplicar la regla de retención y relanzar dados con la propiedad de Markov, la probabilidad sube a ~1.26% en el tiro 2 y a ~4.60% en el tiro 3.</t>
        </is>
      </c>
    </row>
    <row r="23">
      <c r="B23" s="5" t="inlineStr">
        <is>
          <t>• Esto justifica rigurosamente el uso de la Cadena de Markov como herramienta analítica predictiva del juego de Yahtzee.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91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6" customWidth="1" min="9" max="9"/>
    <col width="133" customWidth="1" min="10" max="10"/>
    <col width="25" customWidth="1" min="11" max="11"/>
    <col width="36" customWidth="1" min="12" max="12"/>
    <col width="36" customWidth="1" min="13" max="13"/>
    <col width="89" customWidth="1" min="14" max="14"/>
    <col width="36" customWidth="1" min="15" max="15"/>
    <col width="39" customWidth="1" min="16" max="16"/>
    <col width="14" customWidth="1" min="17" max="17"/>
  </cols>
  <sheetData>
    <row r="1"/>
    <row r="2">
      <c r="B2" s="2" t="inlineStr">
        <is>
          <t>SIMULACIÓN MONTE CARLO DE TURNOS CON GENERACIÓN ALEATORIA (ALEATORIO.ENTRE)</t>
        </is>
      </c>
    </row>
    <row r="3">
      <c r="B3" s="15" t="inlineStr">
        <is>
          <t>Presiona F9 en Excel para recalcular todos los lanzamientos estocásticos en tiempo real.</t>
        </is>
      </c>
    </row>
    <row r="4"/>
    <row r="5">
      <c r="B5" s="7" t="inlineStr">
        <is>
          <t>Turno #</t>
        </is>
      </c>
      <c r="C5" s="7" t="inlineStr">
        <is>
          <t>Jugador</t>
        </is>
      </c>
      <c r="D5" s="7" t="inlineStr">
        <is>
          <t>Dado 1 (T1)</t>
        </is>
      </c>
      <c r="E5" s="7" t="inlineStr">
        <is>
          <t>Dado 2 (T1)</t>
        </is>
      </c>
      <c r="F5" s="7" t="inlineStr">
        <is>
          <t>Dado 3 (T1)</t>
        </is>
      </c>
      <c r="G5" s="7" t="inlineStr">
        <is>
          <t>Dado 4 (T1)</t>
        </is>
      </c>
      <c r="H5" s="7" t="inlineStr">
        <is>
          <t>Dado 5 (T1)</t>
        </is>
      </c>
      <c r="I5" s="7" t="inlineStr">
        <is>
          <t>Suma T1</t>
        </is>
      </c>
      <c r="J5" s="7" t="inlineStr">
        <is>
          <t>Máx Repetidos</t>
        </is>
      </c>
      <c r="K5" s="7" t="inlineStr">
        <is>
          <t>Estado Markov</t>
        </is>
      </c>
      <c r="L5" s="7" t="inlineStr">
        <is>
          <t>Tiro 2 (Dado 4)</t>
        </is>
      </c>
      <c r="M5" s="7" t="inlineStr">
        <is>
          <t>Tiro 2 (Dado 5)</t>
        </is>
      </c>
      <c r="N5" s="7" t="inlineStr">
        <is>
          <t>Estado T2</t>
        </is>
      </c>
      <c r="O5" s="7" t="inlineStr">
        <is>
          <t>Tiro 3 (Dado 5)</t>
        </is>
      </c>
      <c r="P5" s="7" t="inlineStr">
        <is>
          <t>Estado Final</t>
        </is>
      </c>
      <c r="Q5" s="7" t="inlineStr">
        <is>
          <t>Puntos Azar</t>
        </is>
      </c>
    </row>
    <row r="6">
      <c r="B6" s="16" t="n">
        <v>1</v>
      </c>
      <c r="C6" s="16" t="inlineStr">
        <is>
          <t>Jugador 1</t>
        </is>
      </c>
      <c r="D6" s="16">
        <f>RANDBETWEEN(1,6)</f>
        <v/>
      </c>
      <c r="E6" s="16">
        <f>RANDBETWEEN(1,6)</f>
        <v/>
      </c>
      <c r="F6" s="16">
        <f>RANDBETWEEN(1,6)</f>
        <v/>
      </c>
      <c r="G6" s="16">
        <f>RANDBETWEEN(1,6)</f>
        <v/>
      </c>
      <c r="H6" s="16">
        <f>RANDBETWEEN(1,6)</f>
        <v/>
      </c>
      <c r="I6" s="16">
        <f>SUM(D6:H6)</f>
        <v/>
      </c>
      <c r="J6" s="16">
        <f>MAX(COUNTIF(D6:H6, 1), COUNTIF(D6:H6, 2), COUNTIF(D6:H6, 3), COUNTIF(D6:H6, 4), COUNTIF(D6:H6, 5), COUNTIF(D6:H6, 6))</f>
        <v/>
      </c>
      <c r="K6" s="16">
        <f>CONCATENATE("E", J6)</f>
        <v/>
      </c>
      <c r="L6" s="16">
        <f>IF(J6&lt;5, RANDBETWEEN(1,6), G6)</f>
        <v/>
      </c>
      <c r="M6" s="16">
        <f>IF(J6&lt;5, RANDBETWEEN(1,6), H6)</f>
        <v/>
      </c>
      <c r="N6" s="16">
        <f>MAX(COUNTIF(D6:F6, 1)+COUNTIF(L6:M6, 1), COUNTIF(D6:F6, 6)+COUNTIF(L6:M6, 6))</f>
        <v/>
      </c>
      <c r="O6" s="16">
        <f>IF(N6&lt;5, RANDBETWEEN(1,6), M6)</f>
        <v/>
      </c>
      <c r="P6" s="16">
        <f>IF(O6=6, "Yahtzee (5)", "Regular")</f>
        <v/>
      </c>
      <c r="Q6" s="16">
        <f>I6</f>
        <v/>
      </c>
    </row>
    <row r="7">
      <c r="B7" s="16" t="n">
        <v>2</v>
      </c>
      <c r="C7" s="16" t="inlineStr">
        <is>
          <t>Jugador 2</t>
        </is>
      </c>
      <c r="D7" s="16">
        <f>RANDBETWEEN(1,6)</f>
        <v/>
      </c>
      <c r="E7" s="16">
        <f>RANDBETWEEN(1,6)</f>
        <v/>
      </c>
      <c r="F7" s="16">
        <f>RANDBETWEEN(1,6)</f>
        <v/>
      </c>
      <c r="G7" s="16">
        <f>RANDBETWEEN(1,6)</f>
        <v/>
      </c>
      <c r="H7" s="16">
        <f>RANDBETWEEN(1,6)</f>
        <v/>
      </c>
      <c r="I7" s="16">
        <f>SUM(D7:H7)</f>
        <v/>
      </c>
      <c r="J7" s="16">
        <f>MAX(COUNTIF(D7:H7, 1), COUNTIF(D7:H7, 2), COUNTIF(D7:H7, 3), COUNTIF(D7:H7, 4), COUNTIF(D7:H7, 5), COUNTIF(D7:H7, 6))</f>
        <v/>
      </c>
      <c r="K7" s="16">
        <f>CONCATENATE("E", J7)</f>
        <v/>
      </c>
      <c r="L7" s="16">
        <f>IF(J7&lt;5, RANDBETWEEN(1,6), G7)</f>
        <v/>
      </c>
      <c r="M7" s="16">
        <f>IF(J7&lt;5, RANDBETWEEN(1,6), H7)</f>
        <v/>
      </c>
      <c r="N7" s="16">
        <f>MAX(COUNTIF(D7:F7, 1)+COUNTIF(L7:M7, 1), COUNTIF(D7:F7, 6)+COUNTIF(L7:M7, 6))</f>
        <v/>
      </c>
      <c r="O7" s="16">
        <f>IF(N7&lt;5, RANDBETWEEN(1,6), M7)</f>
        <v/>
      </c>
      <c r="P7" s="16">
        <f>IF(O7=6, "Yahtzee (5)", "Regular")</f>
        <v/>
      </c>
      <c r="Q7" s="16">
        <f>I7</f>
        <v/>
      </c>
    </row>
    <row r="8">
      <c r="B8" s="16" t="n">
        <v>3</v>
      </c>
      <c r="C8" s="16" t="inlineStr">
        <is>
          <t>Jugador 1</t>
        </is>
      </c>
      <c r="D8" s="16">
        <f>RANDBETWEEN(1,6)</f>
        <v/>
      </c>
      <c r="E8" s="16">
        <f>RANDBETWEEN(1,6)</f>
        <v/>
      </c>
      <c r="F8" s="16">
        <f>RANDBETWEEN(1,6)</f>
        <v/>
      </c>
      <c r="G8" s="16">
        <f>RANDBETWEEN(1,6)</f>
        <v/>
      </c>
      <c r="H8" s="16">
        <f>RANDBETWEEN(1,6)</f>
        <v/>
      </c>
      <c r="I8" s="16">
        <f>SUM(D8:H8)</f>
        <v/>
      </c>
      <c r="J8" s="16">
        <f>MAX(COUNTIF(D8:H8, 1), COUNTIF(D8:H8, 2), COUNTIF(D8:H8, 3), COUNTIF(D8:H8, 4), COUNTIF(D8:H8, 5), COUNTIF(D8:H8, 6))</f>
        <v/>
      </c>
      <c r="K8" s="16">
        <f>CONCATENATE("E", J8)</f>
        <v/>
      </c>
      <c r="L8" s="16">
        <f>IF(J8&lt;5, RANDBETWEEN(1,6), G8)</f>
        <v/>
      </c>
      <c r="M8" s="16">
        <f>IF(J8&lt;5, RANDBETWEEN(1,6), H8)</f>
        <v/>
      </c>
      <c r="N8" s="16">
        <f>MAX(COUNTIF(D8:F8, 1)+COUNTIF(L8:M8, 1), COUNTIF(D8:F8, 6)+COUNTIF(L8:M8, 6))</f>
        <v/>
      </c>
      <c r="O8" s="16">
        <f>IF(N8&lt;5, RANDBETWEEN(1,6), M8)</f>
        <v/>
      </c>
      <c r="P8" s="16">
        <f>IF(O8=6, "Yahtzee (5)", "Regular")</f>
        <v/>
      </c>
      <c r="Q8" s="16">
        <f>I8</f>
        <v/>
      </c>
    </row>
    <row r="9">
      <c r="B9" s="16" t="n">
        <v>4</v>
      </c>
      <c r="C9" s="16" t="inlineStr">
        <is>
          <t>Jugador 2</t>
        </is>
      </c>
      <c r="D9" s="16">
        <f>RANDBETWEEN(1,6)</f>
        <v/>
      </c>
      <c r="E9" s="16">
        <f>RANDBETWEEN(1,6)</f>
        <v/>
      </c>
      <c r="F9" s="16">
        <f>RANDBETWEEN(1,6)</f>
        <v/>
      </c>
      <c r="G9" s="16">
        <f>RANDBETWEEN(1,6)</f>
        <v/>
      </c>
      <c r="H9" s="16">
        <f>RANDBETWEEN(1,6)</f>
        <v/>
      </c>
      <c r="I9" s="16">
        <f>SUM(D9:H9)</f>
        <v/>
      </c>
      <c r="J9" s="16">
        <f>MAX(COUNTIF(D9:H9, 1), COUNTIF(D9:H9, 2), COUNTIF(D9:H9, 3), COUNTIF(D9:H9, 4), COUNTIF(D9:H9, 5), COUNTIF(D9:H9, 6))</f>
        <v/>
      </c>
      <c r="K9" s="16">
        <f>CONCATENATE("E", J9)</f>
        <v/>
      </c>
      <c r="L9" s="16">
        <f>IF(J9&lt;5, RANDBETWEEN(1,6), G9)</f>
        <v/>
      </c>
      <c r="M9" s="16">
        <f>IF(J9&lt;5, RANDBETWEEN(1,6), H9)</f>
        <v/>
      </c>
      <c r="N9" s="16">
        <f>MAX(COUNTIF(D9:F9, 1)+COUNTIF(L9:M9, 1), COUNTIF(D9:F9, 6)+COUNTIF(L9:M9, 6))</f>
        <v/>
      </c>
      <c r="O9" s="16">
        <f>IF(N9&lt;5, RANDBETWEEN(1,6), M9)</f>
        <v/>
      </c>
      <c r="P9" s="16">
        <f>IF(O9=6, "Yahtzee (5)", "Regular")</f>
        <v/>
      </c>
      <c r="Q9" s="16">
        <f>I9</f>
        <v/>
      </c>
    </row>
    <row r="10">
      <c r="B10" s="16" t="n">
        <v>5</v>
      </c>
      <c r="C10" s="16" t="inlineStr">
        <is>
          <t>Jugador 1</t>
        </is>
      </c>
      <c r="D10" s="16">
        <f>RANDBETWEEN(1,6)</f>
        <v/>
      </c>
      <c r="E10" s="16">
        <f>RANDBETWEEN(1,6)</f>
        <v/>
      </c>
      <c r="F10" s="16">
        <f>RANDBETWEEN(1,6)</f>
        <v/>
      </c>
      <c r="G10" s="16">
        <f>RANDBETWEEN(1,6)</f>
        <v/>
      </c>
      <c r="H10" s="16">
        <f>RANDBETWEEN(1,6)</f>
        <v/>
      </c>
      <c r="I10" s="16">
        <f>SUM(D10:H10)</f>
        <v/>
      </c>
      <c r="J10" s="16">
        <f>MAX(COUNTIF(D10:H10, 1), COUNTIF(D10:H10, 2), COUNTIF(D10:H10, 3), COUNTIF(D10:H10, 4), COUNTIF(D10:H10, 5), COUNTIF(D10:H10, 6))</f>
        <v/>
      </c>
      <c r="K10" s="16">
        <f>CONCATENATE("E", J10)</f>
        <v/>
      </c>
      <c r="L10" s="16">
        <f>IF(J10&lt;5, RANDBETWEEN(1,6), G10)</f>
        <v/>
      </c>
      <c r="M10" s="16">
        <f>IF(J10&lt;5, RANDBETWEEN(1,6), H10)</f>
        <v/>
      </c>
      <c r="N10" s="16">
        <f>MAX(COUNTIF(D10:F10, 1)+COUNTIF(L10:M10, 1), COUNTIF(D10:F10, 6)+COUNTIF(L10:M10, 6))</f>
        <v/>
      </c>
      <c r="O10" s="16">
        <f>IF(N10&lt;5, RANDBETWEEN(1,6), M10)</f>
        <v/>
      </c>
      <c r="P10" s="16">
        <f>IF(O10=6, "Yahtzee (5)", "Regular")</f>
        <v/>
      </c>
      <c r="Q10" s="16">
        <f>I10</f>
        <v/>
      </c>
    </row>
    <row r="11">
      <c r="B11" s="16" t="n">
        <v>6</v>
      </c>
      <c r="C11" s="16" t="inlineStr">
        <is>
          <t>Jugador 2</t>
        </is>
      </c>
      <c r="D11" s="16">
        <f>RANDBETWEEN(1,6)</f>
        <v/>
      </c>
      <c r="E11" s="16">
        <f>RANDBETWEEN(1,6)</f>
        <v/>
      </c>
      <c r="F11" s="16">
        <f>RANDBETWEEN(1,6)</f>
        <v/>
      </c>
      <c r="G11" s="16">
        <f>RANDBETWEEN(1,6)</f>
        <v/>
      </c>
      <c r="H11" s="16">
        <f>RANDBETWEEN(1,6)</f>
        <v/>
      </c>
      <c r="I11" s="16">
        <f>SUM(D11:H11)</f>
        <v/>
      </c>
      <c r="J11" s="16">
        <f>MAX(COUNTIF(D11:H11, 1), COUNTIF(D11:H11, 2), COUNTIF(D11:H11, 3), COUNTIF(D11:H11, 4), COUNTIF(D11:H11, 5), COUNTIF(D11:H11, 6))</f>
        <v/>
      </c>
      <c r="K11" s="16">
        <f>CONCATENATE("E", J11)</f>
        <v/>
      </c>
      <c r="L11" s="16">
        <f>IF(J11&lt;5, RANDBETWEEN(1,6), G11)</f>
        <v/>
      </c>
      <c r="M11" s="16">
        <f>IF(J11&lt;5, RANDBETWEEN(1,6), H11)</f>
        <v/>
      </c>
      <c r="N11" s="16">
        <f>MAX(COUNTIF(D11:F11, 1)+COUNTIF(L11:M11, 1), COUNTIF(D11:F11, 6)+COUNTIF(L11:M11, 6))</f>
        <v/>
      </c>
      <c r="O11" s="16">
        <f>IF(N11&lt;5, RANDBETWEEN(1,6), M11)</f>
        <v/>
      </c>
      <c r="P11" s="16">
        <f>IF(O11=6, "Yahtzee (5)", "Regular")</f>
        <v/>
      </c>
      <c r="Q11" s="16">
        <f>I11</f>
        <v/>
      </c>
    </row>
    <row r="12">
      <c r="B12" s="16" t="n">
        <v>7</v>
      </c>
      <c r="C12" s="16" t="inlineStr">
        <is>
          <t>Jugador 1</t>
        </is>
      </c>
      <c r="D12" s="16">
        <f>RANDBETWEEN(1,6)</f>
        <v/>
      </c>
      <c r="E12" s="16">
        <f>RANDBETWEEN(1,6)</f>
        <v/>
      </c>
      <c r="F12" s="16">
        <f>RANDBETWEEN(1,6)</f>
        <v/>
      </c>
      <c r="G12" s="16">
        <f>RANDBETWEEN(1,6)</f>
        <v/>
      </c>
      <c r="H12" s="16">
        <f>RANDBETWEEN(1,6)</f>
        <v/>
      </c>
      <c r="I12" s="16">
        <f>SUM(D12:H12)</f>
        <v/>
      </c>
      <c r="J12" s="16">
        <f>MAX(COUNTIF(D12:H12, 1), COUNTIF(D12:H12, 2), COUNTIF(D12:H12, 3), COUNTIF(D12:H12, 4), COUNTIF(D12:H12, 5), COUNTIF(D12:H12, 6))</f>
        <v/>
      </c>
      <c r="K12" s="16">
        <f>CONCATENATE("E", J12)</f>
        <v/>
      </c>
      <c r="L12" s="16">
        <f>IF(J12&lt;5, RANDBETWEEN(1,6), G12)</f>
        <v/>
      </c>
      <c r="M12" s="16">
        <f>IF(J12&lt;5, RANDBETWEEN(1,6), H12)</f>
        <v/>
      </c>
      <c r="N12" s="16">
        <f>MAX(COUNTIF(D12:F12, 1)+COUNTIF(L12:M12, 1), COUNTIF(D12:F12, 6)+COUNTIF(L12:M12, 6))</f>
        <v/>
      </c>
      <c r="O12" s="16">
        <f>IF(N12&lt;5, RANDBETWEEN(1,6), M12)</f>
        <v/>
      </c>
      <c r="P12" s="16">
        <f>IF(O12=6, "Yahtzee (5)", "Regular")</f>
        <v/>
      </c>
      <c r="Q12" s="16">
        <f>I12</f>
        <v/>
      </c>
    </row>
    <row r="13">
      <c r="B13" s="16" t="n">
        <v>8</v>
      </c>
      <c r="C13" s="16" t="inlineStr">
        <is>
          <t>Jugador 2</t>
        </is>
      </c>
      <c r="D13" s="16">
        <f>RANDBETWEEN(1,6)</f>
        <v/>
      </c>
      <c r="E13" s="16">
        <f>RANDBETWEEN(1,6)</f>
        <v/>
      </c>
      <c r="F13" s="16">
        <f>RANDBETWEEN(1,6)</f>
        <v/>
      </c>
      <c r="G13" s="16">
        <f>RANDBETWEEN(1,6)</f>
        <v/>
      </c>
      <c r="H13" s="16">
        <f>RANDBETWEEN(1,6)</f>
        <v/>
      </c>
      <c r="I13" s="16">
        <f>SUM(D13:H13)</f>
        <v/>
      </c>
      <c r="J13" s="16">
        <f>MAX(COUNTIF(D13:H13, 1), COUNTIF(D13:H13, 2), COUNTIF(D13:H13, 3), COUNTIF(D13:H13, 4), COUNTIF(D13:H13, 5), COUNTIF(D13:H13, 6))</f>
        <v/>
      </c>
      <c r="K13" s="16">
        <f>CONCATENATE("E", J13)</f>
        <v/>
      </c>
      <c r="L13" s="16">
        <f>IF(J13&lt;5, RANDBETWEEN(1,6), G13)</f>
        <v/>
      </c>
      <c r="M13" s="16">
        <f>IF(J13&lt;5, RANDBETWEEN(1,6), H13)</f>
        <v/>
      </c>
      <c r="N13" s="16">
        <f>MAX(COUNTIF(D13:F13, 1)+COUNTIF(L13:M13, 1), COUNTIF(D13:F13, 6)+COUNTIF(L13:M13, 6))</f>
        <v/>
      </c>
      <c r="O13" s="16">
        <f>IF(N13&lt;5, RANDBETWEEN(1,6), M13)</f>
        <v/>
      </c>
      <c r="P13" s="16">
        <f>IF(O13=6, "Yahtzee (5)", "Regular")</f>
        <v/>
      </c>
      <c r="Q13" s="16">
        <f>I13</f>
        <v/>
      </c>
    </row>
    <row r="14">
      <c r="B14" s="16" t="n">
        <v>9</v>
      </c>
      <c r="C14" s="16" t="inlineStr">
        <is>
          <t>Jugador 1</t>
        </is>
      </c>
      <c r="D14" s="16">
        <f>RANDBETWEEN(1,6)</f>
        <v/>
      </c>
      <c r="E14" s="16">
        <f>RANDBETWEEN(1,6)</f>
        <v/>
      </c>
      <c r="F14" s="16">
        <f>RANDBETWEEN(1,6)</f>
        <v/>
      </c>
      <c r="G14" s="16">
        <f>RANDBETWEEN(1,6)</f>
        <v/>
      </c>
      <c r="H14" s="16">
        <f>RANDBETWEEN(1,6)</f>
        <v/>
      </c>
      <c r="I14" s="16">
        <f>SUM(D14:H14)</f>
        <v/>
      </c>
      <c r="J14" s="16">
        <f>MAX(COUNTIF(D14:H14, 1), COUNTIF(D14:H14, 2), COUNTIF(D14:H14, 3), COUNTIF(D14:H14, 4), COUNTIF(D14:H14, 5), COUNTIF(D14:H14, 6))</f>
        <v/>
      </c>
      <c r="K14" s="16">
        <f>CONCATENATE("E", J14)</f>
        <v/>
      </c>
      <c r="L14" s="16">
        <f>IF(J14&lt;5, RANDBETWEEN(1,6), G14)</f>
        <v/>
      </c>
      <c r="M14" s="16">
        <f>IF(J14&lt;5, RANDBETWEEN(1,6), H14)</f>
        <v/>
      </c>
      <c r="N14" s="16">
        <f>MAX(COUNTIF(D14:F14, 1)+COUNTIF(L14:M14, 1), COUNTIF(D14:F14, 6)+COUNTIF(L14:M14, 6))</f>
        <v/>
      </c>
      <c r="O14" s="16">
        <f>IF(N14&lt;5, RANDBETWEEN(1,6), M14)</f>
        <v/>
      </c>
      <c r="P14" s="16">
        <f>IF(O14=6, "Yahtzee (5)", "Regular")</f>
        <v/>
      </c>
      <c r="Q14" s="16">
        <f>I14</f>
        <v/>
      </c>
    </row>
    <row r="15">
      <c r="B15" s="16" t="n">
        <v>10</v>
      </c>
      <c r="C15" s="16" t="inlineStr">
        <is>
          <t>Jugador 2</t>
        </is>
      </c>
      <c r="D15" s="16">
        <f>RANDBETWEEN(1,6)</f>
        <v/>
      </c>
      <c r="E15" s="16">
        <f>RANDBETWEEN(1,6)</f>
        <v/>
      </c>
      <c r="F15" s="16">
        <f>RANDBETWEEN(1,6)</f>
        <v/>
      </c>
      <c r="G15" s="16">
        <f>RANDBETWEEN(1,6)</f>
        <v/>
      </c>
      <c r="H15" s="16">
        <f>RANDBETWEEN(1,6)</f>
        <v/>
      </c>
      <c r="I15" s="16">
        <f>SUM(D15:H15)</f>
        <v/>
      </c>
      <c r="J15" s="16">
        <f>MAX(COUNTIF(D15:H15, 1), COUNTIF(D15:H15, 2), COUNTIF(D15:H15, 3), COUNTIF(D15:H15, 4), COUNTIF(D15:H15, 5), COUNTIF(D15:H15, 6))</f>
        <v/>
      </c>
      <c r="K15" s="16">
        <f>CONCATENATE("E", J15)</f>
        <v/>
      </c>
      <c r="L15" s="16">
        <f>IF(J15&lt;5, RANDBETWEEN(1,6), G15)</f>
        <v/>
      </c>
      <c r="M15" s="16">
        <f>IF(J15&lt;5, RANDBETWEEN(1,6), H15)</f>
        <v/>
      </c>
      <c r="N15" s="16">
        <f>MAX(COUNTIF(D15:F15, 1)+COUNTIF(L15:M15, 1), COUNTIF(D15:F15, 6)+COUNTIF(L15:M15, 6))</f>
        <v/>
      </c>
      <c r="O15" s="16">
        <f>IF(N15&lt;5, RANDBETWEEN(1,6), M15)</f>
        <v/>
      </c>
      <c r="P15" s="16">
        <f>IF(O15=6, "Yahtzee (5)", "Regular")</f>
        <v/>
      </c>
      <c r="Q15" s="16">
        <f>I15</f>
        <v/>
      </c>
    </row>
    <row r="16">
      <c r="B16" s="16" t="n">
        <v>11</v>
      </c>
      <c r="C16" s="16" t="inlineStr">
        <is>
          <t>Jugador 1</t>
        </is>
      </c>
      <c r="D16" s="16">
        <f>RANDBETWEEN(1,6)</f>
        <v/>
      </c>
      <c r="E16" s="16">
        <f>RANDBETWEEN(1,6)</f>
        <v/>
      </c>
      <c r="F16" s="16">
        <f>RANDBETWEEN(1,6)</f>
        <v/>
      </c>
      <c r="G16" s="16">
        <f>RANDBETWEEN(1,6)</f>
        <v/>
      </c>
      <c r="H16" s="16">
        <f>RANDBETWEEN(1,6)</f>
        <v/>
      </c>
      <c r="I16" s="16">
        <f>SUM(D16:H16)</f>
        <v/>
      </c>
      <c r="J16" s="16">
        <f>MAX(COUNTIF(D16:H16, 1), COUNTIF(D16:H16, 2), COUNTIF(D16:H16, 3), COUNTIF(D16:H16, 4), COUNTIF(D16:H16, 5), COUNTIF(D16:H16, 6))</f>
        <v/>
      </c>
      <c r="K16" s="16">
        <f>CONCATENATE("E", J16)</f>
        <v/>
      </c>
      <c r="L16" s="16">
        <f>IF(J16&lt;5, RANDBETWEEN(1,6), G16)</f>
        <v/>
      </c>
      <c r="M16" s="16">
        <f>IF(J16&lt;5, RANDBETWEEN(1,6), H16)</f>
        <v/>
      </c>
      <c r="N16" s="16">
        <f>MAX(COUNTIF(D16:F16, 1)+COUNTIF(L16:M16, 1), COUNTIF(D16:F16, 6)+COUNTIF(L16:M16, 6))</f>
        <v/>
      </c>
      <c r="O16" s="16">
        <f>IF(N16&lt;5, RANDBETWEEN(1,6), M16)</f>
        <v/>
      </c>
      <c r="P16" s="16">
        <f>IF(O16=6, "Yahtzee (5)", "Regular")</f>
        <v/>
      </c>
      <c r="Q16" s="16">
        <f>I16</f>
        <v/>
      </c>
    </row>
    <row r="17">
      <c r="B17" s="16" t="n">
        <v>12</v>
      </c>
      <c r="C17" s="16" t="inlineStr">
        <is>
          <t>Jugador 2</t>
        </is>
      </c>
      <c r="D17" s="16">
        <f>RANDBETWEEN(1,6)</f>
        <v/>
      </c>
      <c r="E17" s="16">
        <f>RANDBETWEEN(1,6)</f>
        <v/>
      </c>
      <c r="F17" s="16">
        <f>RANDBETWEEN(1,6)</f>
        <v/>
      </c>
      <c r="G17" s="16">
        <f>RANDBETWEEN(1,6)</f>
        <v/>
      </c>
      <c r="H17" s="16">
        <f>RANDBETWEEN(1,6)</f>
        <v/>
      </c>
      <c r="I17" s="16">
        <f>SUM(D17:H17)</f>
        <v/>
      </c>
      <c r="J17" s="16">
        <f>MAX(COUNTIF(D17:H17, 1), COUNTIF(D17:H17, 2), COUNTIF(D17:H17, 3), COUNTIF(D17:H17, 4), COUNTIF(D17:H17, 5), COUNTIF(D17:H17, 6))</f>
        <v/>
      </c>
      <c r="K17" s="16">
        <f>CONCATENATE("E", J17)</f>
        <v/>
      </c>
      <c r="L17" s="16">
        <f>IF(J17&lt;5, RANDBETWEEN(1,6), G17)</f>
        <v/>
      </c>
      <c r="M17" s="16">
        <f>IF(J17&lt;5, RANDBETWEEN(1,6), H17)</f>
        <v/>
      </c>
      <c r="N17" s="16">
        <f>MAX(COUNTIF(D17:F17, 1)+COUNTIF(L17:M17, 1), COUNTIF(D17:F17, 6)+COUNTIF(L17:M17, 6))</f>
        <v/>
      </c>
      <c r="O17" s="16">
        <f>IF(N17&lt;5, RANDBETWEEN(1,6), M17)</f>
        <v/>
      </c>
      <c r="P17" s="16">
        <f>IF(O17=6, "Yahtzee (5)", "Regular")</f>
        <v/>
      </c>
      <c r="Q17" s="16">
        <f>I17</f>
        <v/>
      </c>
    </row>
    <row r="18">
      <c r="B18" s="16" t="n">
        <v>13</v>
      </c>
      <c r="C18" s="16" t="inlineStr">
        <is>
          <t>Jugador 1</t>
        </is>
      </c>
      <c r="D18" s="16">
        <f>RANDBETWEEN(1,6)</f>
        <v/>
      </c>
      <c r="E18" s="16">
        <f>RANDBETWEEN(1,6)</f>
        <v/>
      </c>
      <c r="F18" s="16">
        <f>RANDBETWEEN(1,6)</f>
        <v/>
      </c>
      <c r="G18" s="16">
        <f>RANDBETWEEN(1,6)</f>
        <v/>
      </c>
      <c r="H18" s="16">
        <f>RANDBETWEEN(1,6)</f>
        <v/>
      </c>
      <c r="I18" s="16">
        <f>SUM(D18:H18)</f>
        <v/>
      </c>
      <c r="J18" s="16">
        <f>MAX(COUNTIF(D18:H18, 1), COUNTIF(D18:H18, 2), COUNTIF(D18:H18, 3), COUNTIF(D18:H18, 4), COUNTIF(D18:H18, 5), COUNTIF(D18:H18, 6))</f>
        <v/>
      </c>
      <c r="K18" s="16">
        <f>CONCATENATE("E", J18)</f>
        <v/>
      </c>
      <c r="L18" s="16">
        <f>IF(J18&lt;5, RANDBETWEEN(1,6), G18)</f>
        <v/>
      </c>
      <c r="M18" s="16">
        <f>IF(J18&lt;5, RANDBETWEEN(1,6), H18)</f>
        <v/>
      </c>
      <c r="N18" s="16">
        <f>MAX(COUNTIF(D18:F18, 1)+COUNTIF(L18:M18, 1), COUNTIF(D18:F18, 6)+COUNTIF(L18:M18, 6))</f>
        <v/>
      </c>
      <c r="O18" s="16">
        <f>IF(N18&lt;5, RANDBETWEEN(1,6), M18)</f>
        <v/>
      </c>
      <c r="P18" s="16">
        <f>IF(O18=6, "Yahtzee (5)", "Regular")</f>
        <v/>
      </c>
      <c r="Q18" s="16">
        <f>I18</f>
        <v/>
      </c>
    </row>
    <row r="19">
      <c r="B19" s="16" t="n">
        <v>14</v>
      </c>
      <c r="C19" s="16" t="inlineStr">
        <is>
          <t>Jugador 2</t>
        </is>
      </c>
      <c r="D19" s="16">
        <f>RANDBETWEEN(1,6)</f>
        <v/>
      </c>
      <c r="E19" s="16">
        <f>RANDBETWEEN(1,6)</f>
        <v/>
      </c>
      <c r="F19" s="16">
        <f>RANDBETWEEN(1,6)</f>
        <v/>
      </c>
      <c r="G19" s="16">
        <f>RANDBETWEEN(1,6)</f>
        <v/>
      </c>
      <c r="H19" s="16">
        <f>RANDBETWEEN(1,6)</f>
        <v/>
      </c>
      <c r="I19" s="16">
        <f>SUM(D19:H19)</f>
        <v/>
      </c>
      <c r="J19" s="16">
        <f>MAX(COUNTIF(D19:H19, 1), COUNTIF(D19:H19, 2), COUNTIF(D19:H19, 3), COUNTIF(D19:H19, 4), COUNTIF(D19:H19, 5), COUNTIF(D19:H19, 6))</f>
        <v/>
      </c>
      <c r="K19" s="16">
        <f>CONCATENATE("E", J19)</f>
        <v/>
      </c>
      <c r="L19" s="16">
        <f>IF(J19&lt;5, RANDBETWEEN(1,6), G19)</f>
        <v/>
      </c>
      <c r="M19" s="16">
        <f>IF(J19&lt;5, RANDBETWEEN(1,6), H19)</f>
        <v/>
      </c>
      <c r="N19" s="16">
        <f>MAX(COUNTIF(D19:F19, 1)+COUNTIF(L19:M19, 1), COUNTIF(D19:F19, 6)+COUNTIF(L19:M19, 6))</f>
        <v/>
      </c>
      <c r="O19" s="16">
        <f>IF(N19&lt;5, RANDBETWEEN(1,6), M19)</f>
        <v/>
      </c>
      <c r="P19" s="16">
        <f>IF(O19=6, "Yahtzee (5)", "Regular")</f>
        <v/>
      </c>
      <c r="Q19" s="16">
        <f>I19</f>
        <v/>
      </c>
    </row>
    <row r="20">
      <c r="B20" s="16" t="n">
        <v>15</v>
      </c>
      <c r="C20" s="16" t="inlineStr">
        <is>
          <t>Jugador 1</t>
        </is>
      </c>
      <c r="D20" s="16">
        <f>RANDBETWEEN(1,6)</f>
        <v/>
      </c>
      <c r="E20" s="16">
        <f>RANDBETWEEN(1,6)</f>
        <v/>
      </c>
      <c r="F20" s="16">
        <f>RANDBETWEEN(1,6)</f>
        <v/>
      </c>
      <c r="G20" s="16">
        <f>RANDBETWEEN(1,6)</f>
        <v/>
      </c>
      <c r="H20" s="16">
        <f>RANDBETWEEN(1,6)</f>
        <v/>
      </c>
      <c r="I20" s="16">
        <f>SUM(D20:H20)</f>
        <v/>
      </c>
      <c r="J20" s="16">
        <f>MAX(COUNTIF(D20:H20, 1), COUNTIF(D20:H20, 2), COUNTIF(D20:H20, 3), COUNTIF(D20:H20, 4), COUNTIF(D20:H20, 5), COUNTIF(D20:H20, 6))</f>
        <v/>
      </c>
      <c r="K20" s="16">
        <f>CONCATENATE("E", J20)</f>
        <v/>
      </c>
      <c r="L20" s="16">
        <f>IF(J20&lt;5, RANDBETWEEN(1,6), G20)</f>
        <v/>
      </c>
      <c r="M20" s="16">
        <f>IF(J20&lt;5, RANDBETWEEN(1,6), H20)</f>
        <v/>
      </c>
      <c r="N20" s="16">
        <f>MAX(COUNTIF(D20:F20, 1)+COUNTIF(L20:M20, 1), COUNTIF(D20:F20, 6)+COUNTIF(L20:M20, 6))</f>
        <v/>
      </c>
      <c r="O20" s="16">
        <f>IF(N20&lt;5, RANDBETWEEN(1,6), M20)</f>
        <v/>
      </c>
      <c r="P20" s="16">
        <f>IF(O20=6, "Yahtzee (5)", "Regular")</f>
        <v/>
      </c>
      <c r="Q20" s="16">
        <f>I20</f>
        <v/>
      </c>
    </row>
    <row r="21">
      <c r="B21" s="16" t="n">
        <v>16</v>
      </c>
      <c r="C21" s="16" t="inlineStr">
        <is>
          <t>Jugador 2</t>
        </is>
      </c>
      <c r="D21" s="16">
        <f>RANDBETWEEN(1,6)</f>
        <v/>
      </c>
      <c r="E21" s="16">
        <f>RANDBETWEEN(1,6)</f>
        <v/>
      </c>
      <c r="F21" s="16">
        <f>RANDBETWEEN(1,6)</f>
        <v/>
      </c>
      <c r="G21" s="16">
        <f>RANDBETWEEN(1,6)</f>
        <v/>
      </c>
      <c r="H21" s="16">
        <f>RANDBETWEEN(1,6)</f>
        <v/>
      </c>
      <c r="I21" s="16">
        <f>SUM(D21:H21)</f>
        <v/>
      </c>
      <c r="J21" s="16">
        <f>MAX(COUNTIF(D21:H21, 1), COUNTIF(D21:H21, 2), COUNTIF(D21:H21, 3), COUNTIF(D21:H21, 4), COUNTIF(D21:H21, 5), COUNTIF(D21:H21, 6))</f>
        <v/>
      </c>
      <c r="K21" s="16">
        <f>CONCATENATE("E", J21)</f>
        <v/>
      </c>
      <c r="L21" s="16">
        <f>IF(J21&lt;5, RANDBETWEEN(1,6), G21)</f>
        <v/>
      </c>
      <c r="M21" s="16">
        <f>IF(J21&lt;5, RANDBETWEEN(1,6), H21)</f>
        <v/>
      </c>
      <c r="N21" s="16">
        <f>MAX(COUNTIF(D21:F21, 1)+COUNTIF(L21:M21, 1), COUNTIF(D21:F21, 6)+COUNTIF(L21:M21, 6))</f>
        <v/>
      </c>
      <c r="O21" s="16">
        <f>IF(N21&lt;5, RANDBETWEEN(1,6), M21)</f>
        <v/>
      </c>
      <c r="P21" s="16">
        <f>IF(O21=6, "Yahtzee (5)", "Regular")</f>
        <v/>
      </c>
      <c r="Q21" s="16">
        <f>I21</f>
        <v/>
      </c>
    </row>
    <row r="22">
      <c r="B22" s="16" t="n">
        <v>17</v>
      </c>
      <c r="C22" s="16" t="inlineStr">
        <is>
          <t>Jugador 1</t>
        </is>
      </c>
      <c r="D22" s="16">
        <f>RANDBETWEEN(1,6)</f>
        <v/>
      </c>
      <c r="E22" s="16">
        <f>RANDBETWEEN(1,6)</f>
        <v/>
      </c>
      <c r="F22" s="16">
        <f>RANDBETWEEN(1,6)</f>
        <v/>
      </c>
      <c r="G22" s="16">
        <f>RANDBETWEEN(1,6)</f>
        <v/>
      </c>
      <c r="H22" s="16">
        <f>RANDBETWEEN(1,6)</f>
        <v/>
      </c>
      <c r="I22" s="16">
        <f>SUM(D22:H22)</f>
        <v/>
      </c>
      <c r="J22" s="16">
        <f>MAX(COUNTIF(D22:H22, 1), COUNTIF(D22:H22, 2), COUNTIF(D22:H22, 3), COUNTIF(D22:H22, 4), COUNTIF(D22:H22, 5), COUNTIF(D22:H22, 6))</f>
        <v/>
      </c>
      <c r="K22" s="16">
        <f>CONCATENATE("E", J22)</f>
        <v/>
      </c>
      <c r="L22" s="16">
        <f>IF(J22&lt;5, RANDBETWEEN(1,6), G22)</f>
        <v/>
      </c>
      <c r="M22" s="16">
        <f>IF(J22&lt;5, RANDBETWEEN(1,6), H22)</f>
        <v/>
      </c>
      <c r="N22" s="16">
        <f>MAX(COUNTIF(D22:F22, 1)+COUNTIF(L22:M22, 1), COUNTIF(D22:F22, 6)+COUNTIF(L22:M22, 6))</f>
        <v/>
      </c>
      <c r="O22" s="16">
        <f>IF(N22&lt;5, RANDBETWEEN(1,6), M22)</f>
        <v/>
      </c>
      <c r="P22" s="16">
        <f>IF(O22=6, "Yahtzee (5)", "Regular")</f>
        <v/>
      </c>
      <c r="Q22" s="16">
        <f>I22</f>
        <v/>
      </c>
    </row>
    <row r="23">
      <c r="B23" s="16" t="n">
        <v>18</v>
      </c>
      <c r="C23" s="16" t="inlineStr">
        <is>
          <t>Jugador 2</t>
        </is>
      </c>
      <c r="D23" s="16">
        <f>RANDBETWEEN(1,6)</f>
        <v/>
      </c>
      <c r="E23" s="16">
        <f>RANDBETWEEN(1,6)</f>
        <v/>
      </c>
      <c r="F23" s="16">
        <f>RANDBETWEEN(1,6)</f>
        <v/>
      </c>
      <c r="G23" s="16">
        <f>RANDBETWEEN(1,6)</f>
        <v/>
      </c>
      <c r="H23" s="16">
        <f>RANDBETWEEN(1,6)</f>
        <v/>
      </c>
      <c r="I23" s="16">
        <f>SUM(D23:H23)</f>
        <v/>
      </c>
      <c r="J23" s="16">
        <f>MAX(COUNTIF(D23:H23, 1), COUNTIF(D23:H23, 2), COUNTIF(D23:H23, 3), COUNTIF(D23:H23, 4), COUNTIF(D23:H23, 5), COUNTIF(D23:H23, 6))</f>
        <v/>
      </c>
      <c r="K23" s="16">
        <f>CONCATENATE("E", J23)</f>
        <v/>
      </c>
      <c r="L23" s="16">
        <f>IF(J23&lt;5, RANDBETWEEN(1,6), G23)</f>
        <v/>
      </c>
      <c r="M23" s="16">
        <f>IF(J23&lt;5, RANDBETWEEN(1,6), H23)</f>
        <v/>
      </c>
      <c r="N23" s="16">
        <f>MAX(COUNTIF(D23:F23, 1)+COUNTIF(L23:M23, 1), COUNTIF(D23:F23, 6)+COUNTIF(L23:M23, 6))</f>
        <v/>
      </c>
      <c r="O23" s="16">
        <f>IF(N23&lt;5, RANDBETWEEN(1,6), M23)</f>
        <v/>
      </c>
      <c r="P23" s="16">
        <f>IF(O23=6, "Yahtzee (5)", "Regular")</f>
        <v/>
      </c>
      <c r="Q23" s="16">
        <f>I23</f>
        <v/>
      </c>
    </row>
    <row r="24">
      <c r="B24" s="16" t="n">
        <v>19</v>
      </c>
      <c r="C24" s="16" t="inlineStr">
        <is>
          <t>Jugador 1</t>
        </is>
      </c>
      <c r="D24" s="16">
        <f>RANDBETWEEN(1,6)</f>
        <v/>
      </c>
      <c r="E24" s="16">
        <f>RANDBETWEEN(1,6)</f>
        <v/>
      </c>
      <c r="F24" s="16">
        <f>RANDBETWEEN(1,6)</f>
        <v/>
      </c>
      <c r="G24" s="16">
        <f>RANDBETWEEN(1,6)</f>
        <v/>
      </c>
      <c r="H24" s="16">
        <f>RANDBETWEEN(1,6)</f>
        <v/>
      </c>
      <c r="I24" s="16">
        <f>SUM(D24:H24)</f>
        <v/>
      </c>
      <c r="J24" s="16">
        <f>MAX(COUNTIF(D24:H24, 1), COUNTIF(D24:H24, 2), COUNTIF(D24:H24, 3), COUNTIF(D24:H24, 4), COUNTIF(D24:H24, 5), COUNTIF(D24:H24, 6))</f>
        <v/>
      </c>
      <c r="K24" s="16">
        <f>CONCATENATE("E", J24)</f>
        <v/>
      </c>
      <c r="L24" s="16">
        <f>IF(J24&lt;5, RANDBETWEEN(1,6), G24)</f>
        <v/>
      </c>
      <c r="M24" s="16">
        <f>IF(J24&lt;5, RANDBETWEEN(1,6), H24)</f>
        <v/>
      </c>
      <c r="N24" s="16">
        <f>MAX(COUNTIF(D24:F24, 1)+COUNTIF(L24:M24, 1), COUNTIF(D24:F24, 6)+COUNTIF(L24:M24, 6))</f>
        <v/>
      </c>
      <c r="O24" s="16">
        <f>IF(N24&lt;5, RANDBETWEEN(1,6), M24)</f>
        <v/>
      </c>
      <c r="P24" s="16">
        <f>IF(O24=6, "Yahtzee (5)", "Regular")</f>
        <v/>
      </c>
      <c r="Q24" s="16">
        <f>I24</f>
        <v/>
      </c>
    </row>
    <row r="25">
      <c r="B25" s="16" t="n">
        <v>20</v>
      </c>
      <c r="C25" s="16" t="inlineStr">
        <is>
          <t>Jugador 2</t>
        </is>
      </c>
      <c r="D25" s="16">
        <f>RANDBETWEEN(1,6)</f>
        <v/>
      </c>
      <c r="E25" s="16">
        <f>RANDBETWEEN(1,6)</f>
        <v/>
      </c>
      <c r="F25" s="16">
        <f>RANDBETWEEN(1,6)</f>
        <v/>
      </c>
      <c r="G25" s="16">
        <f>RANDBETWEEN(1,6)</f>
        <v/>
      </c>
      <c r="H25" s="16">
        <f>RANDBETWEEN(1,6)</f>
        <v/>
      </c>
      <c r="I25" s="16">
        <f>SUM(D25:H25)</f>
        <v/>
      </c>
      <c r="J25" s="16">
        <f>MAX(COUNTIF(D25:H25, 1), COUNTIF(D25:H25, 2), COUNTIF(D25:H25, 3), COUNTIF(D25:H25, 4), COUNTIF(D25:H25, 5), COUNTIF(D25:H25, 6))</f>
        <v/>
      </c>
      <c r="K25" s="16">
        <f>CONCATENATE("E", J25)</f>
        <v/>
      </c>
      <c r="L25" s="16">
        <f>IF(J25&lt;5, RANDBETWEEN(1,6), G25)</f>
        <v/>
      </c>
      <c r="M25" s="16">
        <f>IF(J25&lt;5, RANDBETWEEN(1,6), H25)</f>
        <v/>
      </c>
      <c r="N25" s="16">
        <f>MAX(COUNTIF(D25:F25, 1)+COUNTIF(L25:M25, 1), COUNTIF(D25:F25, 6)+COUNTIF(L25:M25, 6))</f>
        <v/>
      </c>
      <c r="O25" s="16">
        <f>IF(N25&lt;5, RANDBETWEEN(1,6), M25)</f>
        <v/>
      </c>
      <c r="P25" s="16">
        <f>IF(O25=6, "Yahtzee (5)", "Regular")</f>
        <v/>
      </c>
      <c r="Q25" s="16">
        <f>I25</f>
        <v/>
      </c>
    </row>
    <row r="26">
      <c r="B26" s="16" t="n">
        <v>21</v>
      </c>
      <c r="C26" s="16" t="inlineStr">
        <is>
          <t>Jugador 1</t>
        </is>
      </c>
      <c r="D26" s="16">
        <f>RANDBETWEEN(1,6)</f>
        <v/>
      </c>
      <c r="E26" s="16">
        <f>RANDBETWEEN(1,6)</f>
        <v/>
      </c>
      <c r="F26" s="16">
        <f>RANDBETWEEN(1,6)</f>
        <v/>
      </c>
      <c r="G26" s="16">
        <f>RANDBETWEEN(1,6)</f>
        <v/>
      </c>
      <c r="H26" s="16">
        <f>RANDBETWEEN(1,6)</f>
        <v/>
      </c>
      <c r="I26" s="16">
        <f>SUM(D26:H26)</f>
        <v/>
      </c>
      <c r="J26" s="16">
        <f>MAX(COUNTIF(D26:H26, 1), COUNTIF(D26:H26, 2), COUNTIF(D26:H26, 3), COUNTIF(D26:H26, 4), COUNTIF(D26:H26, 5), COUNTIF(D26:H26, 6))</f>
        <v/>
      </c>
      <c r="K26" s="16">
        <f>CONCATENATE("E", J26)</f>
        <v/>
      </c>
      <c r="L26" s="16">
        <f>IF(J26&lt;5, RANDBETWEEN(1,6), G26)</f>
        <v/>
      </c>
      <c r="M26" s="16">
        <f>IF(J26&lt;5, RANDBETWEEN(1,6), H26)</f>
        <v/>
      </c>
      <c r="N26" s="16">
        <f>MAX(COUNTIF(D26:F26, 1)+COUNTIF(L26:M26, 1), COUNTIF(D26:F26, 6)+COUNTIF(L26:M26, 6))</f>
        <v/>
      </c>
      <c r="O26" s="16">
        <f>IF(N26&lt;5, RANDBETWEEN(1,6), M26)</f>
        <v/>
      </c>
      <c r="P26" s="16">
        <f>IF(O26=6, "Yahtzee (5)", "Regular")</f>
        <v/>
      </c>
      <c r="Q26" s="16">
        <f>I26</f>
        <v/>
      </c>
    </row>
    <row r="27">
      <c r="B27" s="16" t="n">
        <v>22</v>
      </c>
      <c r="C27" s="16" t="inlineStr">
        <is>
          <t>Jugador 2</t>
        </is>
      </c>
      <c r="D27" s="16">
        <f>RANDBETWEEN(1,6)</f>
        <v/>
      </c>
      <c r="E27" s="16">
        <f>RANDBETWEEN(1,6)</f>
        <v/>
      </c>
      <c r="F27" s="16">
        <f>RANDBETWEEN(1,6)</f>
        <v/>
      </c>
      <c r="G27" s="16">
        <f>RANDBETWEEN(1,6)</f>
        <v/>
      </c>
      <c r="H27" s="16">
        <f>RANDBETWEEN(1,6)</f>
        <v/>
      </c>
      <c r="I27" s="16">
        <f>SUM(D27:H27)</f>
        <v/>
      </c>
      <c r="J27" s="16">
        <f>MAX(COUNTIF(D27:H27, 1), COUNTIF(D27:H27, 2), COUNTIF(D27:H27, 3), COUNTIF(D27:H27, 4), COUNTIF(D27:H27, 5), COUNTIF(D27:H27, 6))</f>
        <v/>
      </c>
      <c r="K27" s="16">
        <f>CONCATENATE("E", J27)</f>
        <v/>
      </c>
      <c r="L27" s="16">
        <f>IF(J27&lt;5, RANDBETWEEN(1,6), G27)</f>
        <v/>
      </c>
      <c r="M27" s="16">
        <f>IF(J27&lt;5, RANDBETWEEN(1,6), H27)</f>
        <v/>
      </c>
      <c r="N27" s="16">
        <f>MAX(COUNTIF(D27:F27, 1)+COUNTIF(L27:M27, 1), COUNTIF(D27:F27, 6)+COUNTIF(L27:M27, 6))</f>
        <v/>
      </c>
      <c r="O27" s="16">
        <f>IF(N27&lt;5, RANDBETWEEN(1,6), M27)</f>
        <v/>
      </c>
      <c r="P27" s="16">
        <f>IF(O27=6, "Yahtzee (5)", "Regular")</f>
        <v/>
      </c>
      <c r="Q27" s="16">
        <f>I27</f>
        <v/>
      </c>
    </row>
    <row r="28">
      <c r="B28" s="16" t="n">
        <v>23</v>
      </c>
      <c r="C28" s="16" t="inlineStr">
        <is>
          <t>Jugador 1</t>
        </is>
      </c>
      <c r="D28" s="16">
        <f>RANDBETWEEN(1,6)</f>
        <v/>
      </c>
      <c r="E28" s="16">
        <f>RANDBETWEEN(1,6)</f>
        <v/>
      </c>
      <c r="F28" s="16">
        <f>RANDBETWEEN(1,6)</f>
        <v/>
      </c>
      <c r="G28" s="16">
        <f>RANDBETWEEN(1,6)</f>
        <v/>
      </c>
      <c r="H28" s="16">
        <f>RANDBETWEEN(1,6)</f>
        <v/>
      </c>
      <c r="I28" s="16">
        <f>SUM(D28:H28)</f>
        <v/>
      </c>
      <c r="J28" s="16">
        <f>MAX(COUNTIF(D28:H28, 1), COUNTIF(D28:H28, 2), COUNTIF(D28:H28, 3), COUNTIF(D28:H28, 4), COUNTIF(D28:H28, 5), COUNTIF(D28:H28, 6))</f>
        <v/>
      </c>
      <c r="K28" s="16">
        <f>CONCATENATE("E", J28)</f>
        <v/>
      </c>
      <c r="L28" s="16">
        <f>IF(J28&lt;5, RANDBETWEEN(1,6), G28)</f>
        <v/>
      </c>
      <c r="M28" s="16">
        <f>IF(J28&lt;5, RANDBETWEEN(1,6), H28)</f>
        <v/>
      </c>
      <c r="N28" s="16">
        <f>MAX(COUNTIF(D28:F28, 1)+COUNTIF(L28:M28, 1), COUNTIF(D28:F28, 6)+COUNTIF(L28:M28, 6))</f>
        <v/>
      </c>
      <c r="O28" s="16">
        <f>IF(N28&lt;5, RANDBETWEEN(1,6), M28)</f>
        <v/>
      </c>
      <c r="P28" s="16">
        <f>IF(O28=6, "Yahtzee (5)", "Regular")</f>
        <v/>
      </c>
      <c r="Q28" s="16">
        <f>I28</f>
        <v/>
      </c>
    </row>
    <row r="29">
      <c r="B29" s="16" t="n">
        <v>24</v>
      </c>
      <c r="C29" s="16" t="inlineStr">
        <is>
          <t>Jugador 2</t>
        </is>
      </c>
      <c r="D29" s="16">
        <f>RANDBETWEEN(1,6)</f>
        <v/>
      </c>
      <c r="E29" s="16">
        <f>RANDBETWEEN(1,6)</f>
        <v/>
      </c>
      <c r="F29" s="16">
        <f>RANDBETWEEN(1,6)</f>
        <v/>
      </c>
      <c r="G29" s="16">
        <f>RANDBETWEEN(1,6)</f>
        <v/>
      </c>
      <c r="H29" s="16">
        <f>RANDBETWEEN(1,6)</f>
        <v/>
      </c>
      <c r="I29" s="16">
        <f>SUM(D29:H29)</f>
        <v/>
      </c>
      <c r="J29" s="16">
        <f>MAX(COUNTIF(D29:H29, 1), COUNTIF(D29:H29, 2), COUNTIF(D29:H29, 3), COUNTIF(D29:H29, 4), COUNTIF(D29:H29, 5), COUNTIF(D29:H29, 6))</f>
        <v/>
      </c>
      <c r="K29" s="16">
        <f>CONCATENATE("E", J29)</f>
        <v/>
      </c>
      <c r="L29" s="16">
        <f>IF(J29&lt;5, RANDBETWEEN(1,6), G29)</f>
        <v/>
      </c>
      <c r="M29" s="16">
        <f>IF(J29&lt;5, RANDBETWEEN(1,6), H29)</f>
        <v/>
      </c>
      <c r="N29" s="16">
        <f>MAX(COUNTIF(D29:F29, 1)+COUNTIF(L29:M29, 1), COUNTIF(D29:F29, 6)+COUNTIF(L29:M29, 6))</f>
        <v/>
      </c>
      <c r="O29" s="16">
        <f>IF(N29&lt;5, RANDBETWEEN(1,6), M29)</f>
        <v/>
      </c>
      <c r="P29" s="16">
        <f>IF(O29=6, "Yahtzee (5)", "Regular")</f>
        <v/>
      </c>
      <c r="Q29" s="16">
        <f>I29</f>
        <v/>
      </c>
    </row>
    <row r="30">
      <c r="B30" s="16" t="n">
        <v>25</v>
      </c>
      <c r="C30" s="16" t="inlineStr">
        <is>
          <t>Jugador 1</t>
        </is>
      </c>
      <c r="D30" s="16">
        <f>RANDBETWEEN(1,6)</f>
        <v/>
      </c>
      <c r="E30" s="16">
        <f>RANDBETWEEN(1,6)</f>
        <v/>
      </c>
      <c r="F30" s="16">
        <f>RANDBETWEEN(1,6)</f>
        <v/>
      </c>
      <c r="G30" s="16">
        <f>RANDBETWEEN(1,6)</f>
        <v/>
      </c>
      <c r="H30" s="16">
        <f>RANDBETWEEN(1,6)</f>
        <v/>
      </c>
      <c r="I30" s="16">
        <f>SUM(D30:H30)</f>
        <v/>
      </c>
      <c r="J30" s="16">
        <f>MAX(COUNTIF(D30:H30, 1), COUNTIF(D30:H30, 2), COUNTIF(D30:H30, 3), COUNTIF(D30:H30, 4), COUNTIF(D30:H30, 5), COUNTIF(D30:H30, 6))</f>
        <v/>
      </c>
      <c r="K30" s="16">
        <f>CONCATENATE("E", J30)</f>
        <v/>
      </c>
      <c r="L30" s="16">
        <f>IF(J30&lt;5, RANDBETWEEN(1,6), G30)</f>
        <v/>
      </c>
      <c r="M30" s="16">
        <f>IF(J30&lt;5, RANDBETWEEN(1,6), H30)</f>
        <v/>
      </c>
      <c r="N30" s="16">
        <f>MAX(COUNTIF(D30:F30, 1)+COUNTIF(L30:M30, 1), COUNTIF(D30:F30, 6)+COUNTIF(L30:M30, 6))</f>
        <v/>
      </c>
      <c r="O30" s="16">
        <f>IF(N30&lt;5, RANDBETWEEN(1,6), M30)</f>
        <v/>
      </c>
      <c r="P30" s="16">
        <f>IF(O30=6, "Yahtzee (5)", "Regular")</f>
        <v/>
      </c>
      <c r="Q30" s="16">
        <f>I30</f>
        <v/>
      </c>
    </row>
    <row r="31">
      <c r="B31" s="16" t="n">
        <v>26</v>
      </c>
      <c r="C31" s="16" t="inlineStr">
        <is>
          <t>Jugador 2</t>
        </is>
      </c>
      <c r="D31" s="16">
        <f>RANDBETWEEN(1,6)</f>
        <v/>
      </c>
      <c r="E31" s="16">
        <f>RANDBETWEEN(1,6)</f>
        <v/>
      </c>
      <c r="F31" s="16">
        <f>RANDBETWEEN(1,6)</f>
        <v/>
      </c>
      <c r="G31" s="16">
        <f>RANDBETWEEN(1,6)</f>
        <v/>
      </c>
      <c r="H31" s="16">
        <f>RANDBETWEEN(1,6)</f>
        <v/>
      </c>
      <c r="I31" s="16">
        <f>SUM(D31:H31)</f>
        <v/>
      </c>
      <c r="J31" s="16">
        <f>MAX(COUNTIF(D31:H31, 1), COUNTIF(D31:H31, 2), COUNTIF(D31:H31, 3), COUNTIF(D31:H31, 4), COUNTIF(D31:H31, 5), COUNTIF(D31:H31, 6))</f>
        <v/>
      </c>
      <c r="K31" s="16">
        <f>CONCATENATE("E", J31)</f>
        <v/>
      </c>
      <c r="L31" s="16">
        <f>IF(J31&lt;5, RANDBETWEEN(1,6), G31)</f>
        <v/>
      </c>
      <c r="M31" s="16">
        <f>IF(J31&lt;5, RANDBETWEEN(1,6), H31)</f>
        <v/>
      </c>
      <c r="N31" s="16">
        <f>MAX(COUNTIF(D31:F31, 1)+COUNTIF(L31:M31, 1), COUNTIF(D31:F31, 6)+COUNTIF(L31:M31, 6))</f>
        <v/>
      </c>
      <c r="O31" s="16">
        <f>IF(N31&lt;5, RANDBETWEEN(1,6), M31)</f>
        <v/>
      </c>
      <c r="P31" s="16">
        <f>IF(O31=6, "Yahtzee (5)", "Regular")</f>
        <v/>
      </c>
      <c r="Q31" s="16">
        <f>I31</f>
        <v/>
      </c>
    </row>
    <row r="32">
      <c r="B32" s="16" t="n">
        <v>27</v>
      </c>
      <c r="C32" s="16" t="inlineStr">
        <is>
          <t>Jugador 1</t>
        </is>
      </c>
      <c r="D32" s="16">
        <f>RANDBETWEEN(1,6)</f>
        <v/>
      </c>
      <c r="E32" s="16">
        <f>RANDBETWEEN(1,6)</f>
        <v/>
      </c>
      <c r="F32" s="16">
        <f>RANDBETWEEN(1,6)</f>
        <v/>
      </c>
      <c r="G32" s="16">
        <f>RANDBETWEEN(1,6)</f>
        <v/>
      </c>
      <c r="H32" s="16">
        <f>RANDBETWEEN(1,6)</f>
        <v/>
      </c>
      <c r="I32" s="16">
        <f>SUM(D32:H32)</f>
        <v/>
      </c>
      <c r="J32" s="16">
        <f>MAX(COUNTIF(D32:H32, 1), COUNTIF(D32:H32, 2), COUNTIF(D32:H32, 3), COUNTIF(D32:H32, 4), COUNTIF(D32:H32, 5), COUNTIF(D32:H32, 6))</f>
        <v/>
      </c>
      <c r="K32" s="16">
        <f>CONCATENATE("E", J32)</f>
        <v/>
      </c>
      <c r="L32" s="16">
        <f>IF(J32&lt;5, RANDBETWEEN(1,6), G32)</f>
        <v/>
      </c>
      <c r="M32" s="16">
        <f>IF(J32&lt;5, RANDBETWEEN(1,6), H32)</f>
        <v/>
      </c>
      <c r="N32" s="16">
        <f>MAX(COUNTIF(D32:F32, 1)+COUNTIF(L32:M32, 1), COUNTIF(D32:F32, 6)+COUNTIF(L32:M32, 6))</f>
        <v/>
      </c>
      <c r="O32" s="16">
        <f>IF(N32&lt;5, RANDBETWEEN(1,6), M32)</f>
        <v/>
      </c>
      <c r="P32" s="16">
        <f>IF(O32=6, "Yahtzee (5)", "Regular")</f>
        <v/>
      </c>
      <c r="Q32" s="16">
        <f>I32</f>
        <v/>
      </c>
    </row>
    <row r="33">
      <c r="B33" s="16" t="n">
        <v>28</v>
      </c>
      <c r="C33" s="16" t="inlineStr">
        <is>
          <t>Jugador 2</t>
        </is>
      </c>
      <c r="D33" s="16">
        <f>RANDBETWEEN(1,6)</f>
        <v/>
      </c>
      <c r="E33" s="16">
        <f>RANDBETWEEN(1,6)</f>
        <v/>
      </c>
      <c r="F33" s="16">
        <f>RANDBETWEEN(1,6)</f>
        <v/>
      </c>
      <c r="G33" s="16">
        <f>RANDBETWEEN(1,6)</f>
        <v/>
      </c>
      <c r="H33" s="16">
        <f>RANDBETWEEN(1,6)</f>
        <v/>
      </c>
      <c r="I33" s="16">
        <f>SUM(D33:H33)</f>
        <v/>
      </c>
      <c r="J33" s="16">
        <f>MAX(COUNTIF(D33:H33, 1), COUNTIF(D33:H33, 2), COUNTIF(D33:H33, 3), COUNTIF(D33:H33, 4), COUNTIF(D33:H33, 5), COUNTIF(D33:H33, 6))</f>
        <v/>
      </c>
      <c r="K33" s="16">
        <f>CONCATENATE("E", J33)</f>
        <v/>
      </c>
      <c r="L33" s="16">
        <f>IF(J33&lt;5, RANDBETWEEN(1,6), G33)</f>
        <v/>
      </c>
      <c r="M33" s="16">
        <f>IF(J33&lt;5, RANDBETWEEN(1,6), H33)</f>
        <v/>
      </c>
      <c r="N33" s="16">
        <f>MAX(COUNTIF(D33:F33, 1)+COUNTIF(L33:M33, 1), COUNTIF(D33:F33, 6)+COUNTIF(L33:M33, 6))</f>
        <v/>
      </c>
      <c r="O33" s="16">
        <f>IF(N33&lt;5, RANDBETWEEN(1,6), M33)</f>
        <v/>
      </c>
      <c r="P33" s="16">
        <f>IF(O33=6, "Yahtzee (5)", "Regular")</f>
        <v/>
      </c>
      <c r="Q33" s="16">
        <f>I33</f>
        <v/>
      </c>
    </row>
    <row r="34">
      <c r="B34" s="16" t="n">
        <v>29</v>
      </c>
      <c r="C34" s="16" t="inlineStr">
        <is>
          <t>Jugador 1</t>
        </is>
      </c>
      <c r="D34" s="16">
        <f>RANDBETWEEN(1,6)</f>
        <v/>
      </c>
      <c r="E34" s="16">
        <f>RANDBETWEEN(1,6)</f>
        <v/>
      </c>
      <c r="F34" s="16">
        <f>RANDBETWEEN(1,6)</f>
        <v/>
      </c>
      <c r="G34" s="16">
        <f>RANDBETWEEN(1,6)</f>
        <v/>
      </c>
      <c r="H34" s="16">
        <f>RANDBETWEEN(1,6)</f>
        <v/>
      </c>
      <c r="I34" s="16">
        <f>SUM(D34:H34)</f>
        <v/>
      </c>
      <c r="J34" s="16">
        <f>MAX(COUNTIF(D34:H34, 1), COUNTIF(D34:H34, 2), COUNTIF(D34:H34, 3), COUNTIF(D34:H34, 4), COUNTIF(D34:H34, 5), COUNTIF(D34:H34, 6))</f>
        <v/>
      </c>
      <c r="K34" s="16">
        <f>CONCATENATE("E", J34)</f>
        <v/>
      </c>
      <c r="L34" s="16">
        <f>IF(J34&lt;5, RANDBETWEEN(1,6), G34)</f>
        <v/>
      </c>
      <c r="M34" s="16">
        <f>IF(J34&lt;5, RANDBETWEEN(1,6), H34)</f>
        <v/>
      </c>
      <c r="N34" s="16">
        <f>MAX(COUNTIF(D34:F34, 1)+COUNTIF(L34:M34, 1), COUNTIF(D34:F34, 6)+COUNTIF(L34:M34, 6))</f>
        <v/>
      </c>
      <c r="O34" s="16">
        <f>IF(N34&lt;5, RANDBETWEEN(1,6), M34)</f>
        <v/>
      </c>
      <c r="P34" s="16">
        <f>IF(O34=6, "Yahtzee (5)", "Regular")</f>
        <v/>
      </c>
      <c r="Q34" s="16">
        <f>I34</f>
        <v/>
      </c>
    </row>
    <row r="35">
      <c r="B35" s="16" t="n">
        <v>30</v>
      </c>
      <c r="C35" s="16" t="inlineStr">
        <is>
          <t>Jugador 2</t>
        </is>
      </c>
      <c r="D35" s="16">
        <f>RANDBETWEEN(1,6)</f>
        <v/>
      </c>
      <c r="E35" s="16">
        <f>RANDBETWEEN(1,6)</f>
        <v/>
      </c>
      <c r="F35" s="16">
        <f>RANDBETWEEN(1,6)</f>
        <v/>
      </c>
      <c r="G35" s="16">
        <f>RANDBETWEEN(1,6)</f>
        <v/>
      </c>
      <c r="H35" s="16">
        <f>RANDBETWEEN(1,6)</f>
        <v/>
      </c>
      <c r="I35" s="16">
        <f>SUM(D35:H35)</f>
        <v/>
      </c>
      <c r="J35" s="16">
        <f>MAX(COUNTIF(D35:H35, 1), COUNTIF(D35:H35, 2), COUNTIF(D35:H35, 3), COUNTIF(D35:H35, 4), COUNTIF(D35:H35, 5), COUNTIF(D35:H35, 6))</f>
        <v/>
      </c>
      <c r="K35" s="16">
        <f>CONCATENATE("E", J35)</f>
        <v/>
      </c>
      <c r="L35" s="16">
        <f>IF(J35&lt;5, RANDBETWEEN(1,6), G35)</f>
        <v/>
      </c>
      <c r="M35" s="16">
        <f>IF(J35&lt;5, RANDBETWEEN(1,6), H35)</f>
        <v/>
      </c>
      <c r="N35" s="16">
        <f>MAX(COUNTIF(D35:F35, 1)+COUNTIF(L35:M35, 1), COUNTIF(D35:F35, 6)+COUNTIF(L35:M35, 6))</f>
        <v/>
      </c>
      <c r="O35" s="16">
        <f>IF(N35&lt;5, RANDBETWEEN(1,6), M35)</f>
        <v/>
      </c>
      <c r="P35" s="16">
        <f>IF(O35=6, "Yahtzee (5)", "Regular")</f>
        <v/>
      </c>
      <c r="Q35" s="16">
        <f>I35</f>
        <v/>
      </c>
    </row>
    <row r="36">
      <c r="B36" s="16" t="n">
        <v>31</v>
      </c>
      <c r="C36" s="16" t="inlineStr">
        <is>
          <t>Jugador 1</t>
        </is>
      </c>
      <c r="D36" s="16">
        <f>RANDBETWEEN(1,6)</f>
        <v/>
      </c>
      <c r="E36" s="16">
        <f>RANDBETWEEN(1,6)</f>
        <v/>
      </c>
      <c r="F36" s="16">
        <f>RANDBETWEEN(1,6)</f>
        <v/>
      </c>
      <c r="G36" s="16">
        <f>RANDBETWEEN(1,6)</f>
        <v/>
      </c>
      <c r="H36" s="16">
        <f>RANDBETWEEN(1,6)</f>
        <v/>
      </c>
      <c r="I36" s="16">
        <f>SUM(D36:H36)</f>
        <v/>
      </c>
      <c r="J36" s="16">
        <f>MAX(COUNTIF(D36:H36, 1), COUNTIF(D36:H36, 2), COUNTIF(D36:H36, 3), COUNTIF(D36:H36, 4), COUNTIF(D36:H36, 5), COUNTIF(D36:H36, 6))</f>
        <v/>
      </c>
      <c r="K36" s="16">
        <f>CONCATENATE("E", J36)</f>
        <v/>
      </c>
      <c r="L36" s="16">
        <f>IF(J36&lt;5, RANDBETWEEN(1,6), G36)</f>
        <v/>
      </c>
      <c r="M36" s="16">
        <f>IF(J36&lt;5, RANDBETWEEN(1,6), H36)</f>
        <v/>
      </c>
      <c r="N36" s="16">
        <f>MAX(COUNTIF(D36:F36, 1)+COUNTIF(L36:M36, 1), COUNTIF(D36:F36, 6)+COUNTIF(L36:M36, 6))</f>
        <v/>
      </c>
      <c r="O36" s="16">
        <f>IF(N36&lt;5, RANDBETWEEN(1,6), M36)</f>
        <v/>
      </c>
      <c r="P36" s="16">
        <f>IF(O36=6, "Yahtzee (5)", "Regular")</f>
        <v/>
      </c>
      <c r="Q36" s="16">
        <f>I36</f>
        <v/>
      </c>
    </row>
    <row r="37">
      <c r="B37" s="16" t="n">
        <v>32</v>
      </c>
      <c r="C37" s="16" t="inlineStr">
        <is>
          <t>Jugador 2</t>
        </is>
      </c>
      <c r="D37" s="16">
        <f>RANDBETWEEN(1,6)</f>
        <v/>
      </c>
      <c r="E37" s="16">
        <f>RANDBETWEEN(1,6)</f>
        <v/>
      </c>
      <c r="F37" s="16">
        <f>RANDBETWEEN(1,6)</f>
        <v/>
      </c>
      <c r="G37" s="16">
        <f>RANDBETWEEN(1,6)</f>
        <v/>
      </c>
      <c r="H37" s="16">
        <f>RANDBETWEEN(1,6)</f>
        <v/>
      </c>
      <c r="I37" s="16">
        <f>SUM(D37:H37)</f>
        <v/>
      </c>
      <c r="J37" s="16">
        <f>MAX(COUNTIF(D37:H37, 1), COUNTIF(D37:H37, 2), COUNTIF(D37:H37, 3), COUNTIF(D37:H37, 4), COUNTIF(D37:H37, 5), COUNTIF(D37:H37, 6))</f>
        <v/>
      </c>
      <c r="K37" s="16">
        <f>CONCATENATE("E", J37)</f>
        <v/>
      </c>
      <c r="L37" s="16">
        <f>IF(J37&lt;5, RANDBETWEEN(1,6), G37)</f>
        <v/>
      </c>
      <c r="M37" s="16">
        <f>IF(J37&lt;5, RANDBETWEEN(1,6), H37)</f>
        <v/>
      </c>
      <c r="N37" s="16">
        <f>MAX(COUNTIF(D37:F37, 1)+COUNTIF(L37:M37, 1), COUNTIF(D37:F37, 6)+COUNTIF(L37:M37, 6))</f>
        <v/>
      </c>
      <c r="O37" s="16">
        <f>IF(N37&lt;5, RANDBETWEEN(1,6), M37)</f>
        <v/>
      </c>
      <c r="P37" s="16">
        <f>IF(O37=6, "Yahtzee (5)", "Regular")</f>
        <v/>
      </c>
      <c r="Q37" s="16">
        <f>I37</f>
        <v/>
      </c>
    </row>
    <row r="38">
      <c r="B38" s="16" t="n">
        <v>33</v>
      </c>
      <c r="C38" s="16" t="inlineStr">
        <is>
          <t>Jugador 1</t>
        </is>
      </c>
      <c r="D38" s="16">
        <f>RANDBETWEEN(1,6)</f>
        <v/>
      </c>
      <c r="E38" s="16">
        <f>RANDBETWEEN(1,6)</f>
        <v/>
      </c>
      <c r="F38" s="16">
        <f>RANDBETWEEN(1,6)</f>
        <v/>
      </c>
      <c r="G38" s="16">
        <f>RANDBETWEEN(1,6)</f>
        <v/>
      </c>
      <c r="H38" s="16">
        <f>RANDBETWEEN(1,6)</f>
        <v/>
      </c>
      <c r="I38" s="16">
        <f>SUM(D38:H38)</f>
        <v/>
      </c>
      <c r="J38" s="16">
        <f>MAX(COUNTIF(D38:H38, 1), COUNTIF(D38:H38, 2), COUNTIF(D38:H38, 3), COUNTIF(D38:H38, 4), COUNTIF(D38:H38, 5), COUNTIF(D38:H38, 6))</f>
        <v/>
      </c>
      <c r="K38" s="16">
        <f>CONCATENATE("E", J38)</f>
        <v/>
      </c>
      <c r="L38" s="16">
        <f>IF(J38&lt;5, RANDBETWEEN(1,6), G38)</f>
        <v/>
      </c>
      <c r="M38" s="16">
        <f>IF(J38&lt;5, RANDBETWEEN(1,6), H38)</f>
        <v/>
      </c>
      <c r="N38" s="16">
        <f>MAX(COUNTIF(D38:F38, 1)+COUNTIF(L38:M38, 1), COUNTIF(D38:F38, 6)+COUNTIF(L38:M38, 6))</f>
        <v/>
      </c>
      <c r="O38" s="16">
        <f>IF(N38&lt;5, RANDBETWEEN(1,6), M38)</f>
        <v/>
      </c>
      <c r="P38" s="16">
        <f>IF(O38=6, "Yahtzee (5)", "Regular")</f>
        <v/>
      </c>
      <c r="Q38" s="16">
        <f>I38</f>
        <v/>
      </c>
    </row>
    <row r="39">
      <c r="B39" s="16" t="n">
        <v>34</v>
      </c>
      <c r="C39" s="16" t="inlineStr">
        <is>
          <t>Jugador 2</t>
        </is>
      </c>
      <c r="D39" s="16">
        <f>RANDBETWEEN(1,6)</f>
        <v/>
      </c>
      <c r="E39" s="16">
        <f>RANDBETWEEN(1,6)</f>
        <v/>
      </c>
      <c r="F39" s="16">
        <f>RANDBETWEEN(1,6)</f>
        <v/>
      </c>
      <c r="G39" s="16">
        <f>RANDBETWEEN(1,6)</f>
        <v/>
      </c>
      <c r="H39" s="16">
        <f>RANDBETWEEN(1,6)</f>
        <v/>
      </c>
      <c r="I39" s="16">
        <f>SUM(D39:H39)</f>
        <v/>
      </c>
      <c r="J39" s="16">
        <f>MAX(COUNTIF(D39:H39, 1), COUNTIF(D39:H39, 2), COUNTIF(D39:H39, 3), COUNTIF(D39:H39, 4), COUNTIF(D39:H39, 5), COUNTIF(D39:H39, 6))</f>
        <v/>
      </c>
      <c r="K39" s="16">
        <f>CONCATENATE("E", J39)</f>
        <v/>
      </c>
      <c r="L39" s="16">
        <f>IF(J39&lt;5, RANDBETWEEN(1,6), G39)</f>
        <v/>
      </c>
      <c r="M39" s="16">
        <f>IF(J39&lt;5, RANDBETWEEN(1,6), H39)</f>
        <v/>
      </c>
      <c r="N39" s="16">
        <f>MAX(COUNTIF(D39:F39, 1)+COUNTIF(L39:M39, 1), COUNTIF(D39:F39, 6)+COUNTIF(L39:M39, 6))</f>
        <v/>
      </c>
      <c r="O39" s="16">
        <f>IF(N39&lt;5, RANDBETWEEN(1,6), M39)</f>
        <v/>
      </c>
      <c r="P39" s="16">
        <f>IF(O39=6, "Yahtzee (5)", "Regular")</f>
        <v/>
      </c>
      <c r="Q39" s="16">
        <f>I39</f>
        <v/>
      </c>
    </row>
    <row r="40">
      <c r="B40" s="16" t="n">
        <v>35</v>
      </c>
      <c r="C40" s="16" t="inlineStr">
        <is>
          <t>Jugador 1</t>
        </is>
      </c>
      <c r="D40" s="16">
        <f>RANDBETWEEN(1,6)</f>
        <v/>
      </c>
      <c r="E40" s="16">
        <f>RANDBETWEEN(1,6)</f>
        <v/>
      </c>
      <c r="F40" s="16">
        <f>RANDBETWEEN(1,6)</f>
        <v/>
      </c>
      <c r="G40" s="16">
        <f>RANDBETWEEN(1,6)</f>
        <v/>
      </c>
      <c r="H40" s="16">
        <f>RANDBETWEEN(1,6)</f>
        <v/>
      </c>
      <c r="I40" s="16">
        <f>SUM(D40:H40)</f>
        <v/>
      </c>
      <c r="J40" s="16">
        <f>MAX(COUNTIF(D40:H40, 1), COUNTIF(D40:H40, 2), COUNTIF(D40:H40, 3), COUNTIF(D40:H40, 4), COUNTIF(D40:H40, 5), COUNTIF(D40:H40, 6))</f>
        <v/>
      </c>
      <c r="K40" s="16">
        <f>CONCATENATE("E", J40)</f>
        <v/>
      </c>
      <c r="L40" s="16">
        <f>IF(J40&lt;5, RANDBETWEEN(1,6), G40)</f>
        <v/>
      </c>
      <c r="M40" s="16">
        <f>IF(J40&lt;5, RANDBETWEEN(1,6), H40)</f>
        <v/>
      </c>
      <c r="N40" s="16">
        <f>MAX(COUNTIF(D40:F40, 1)+COUNTIF(L40:M40, 1), COUNTIF(D40:F40, 6)+COUNTIF(L40:M40, 6))</f>
        <v/>
      </c>
      <c r="O40" s="16">
        <f>IF(N40&lt;5, RANDBETWEEN(1,6), M40)</f>
        <v/>
      </c>
      <c r="P40" s="16">
        <f>IF(O40=6, "Yahtzee (5)", "Regular")</f>
        <v/>
      </c>
      <c r="Q40" s="16">
        <f>I40</f>
        <v/>
      </c>
    </row>
    <row r="41">
      <c r="B41" s="16" t="n">
        <v>36</v>
      </c>
      <c r="C41" s="16" t="inlineStr">
        <is>
          <t>Jugador 2</t>
        </is>
      </c>
      <c r="D41" s="16">
        <f>RANDBETWEEN(1,6)</f>
        <v/>
      </c>
      <c r="E41" s="16">
        <f>RANDBETWEEN(1,6)</f>
        <v/>
      </c>
      <c r="F41" s="16">
        <f>RANDBETWEEN(1,6)</f>
        <v/>
      </c>
      <c r="G41" s="16">
        <f>RANDBETWEEN(1,6)</f>
        <v/>
      </c>
      <c r="H41" s="16">
        <f>RANDBETWEEN(1,6)</f>
        <v/>
      </c>
      <c r="I41" s="16">
        <f>SUM(D41:H41)</f>
        <v/>
      </c>
      <c r="J41" s="16">
        <f>MAX(COUNTIF(D41:H41, 1), COUNTIF(D41:H41, 2), COUNTIF(D41:H41, 3), COUNTIF(D41:H41, 4), COUNTIF(D41:H41, 5), COUNTIF(D41:H41, 6))</f>
        <v/>
      </c>
      <c r="K41" s="16">
        <f>CONCATENATE("E", J41)</f>
        <v/>
      </c>
      <c r="L41" s="16">
        <f>IF(J41&lt;5, RANDBETWEEN(1,6), G41)</f>
        <v/>
      </c>
      <c r="M41" s="16">
        <f>IF(J41&lt;5, RANDBETWEEN(1,6), H41)</f>
        <v/>
      </c>
      <c r="N41" s="16">
        <f>MAX(COUNTIF(D41:F41, 1)+COUNTIF(L41:M41, 1), COUNTIF(D41:F41, 6)+COUNTIF(L41:M41, 6))</f>
        <v/>
      </c>
      <c r="O41" s="16">
        <f>IF(N41&lt;5, RANDBETWEEN(1,6), M41)</f>
        <v/>
      </c>
      <c r="P41" s="16">
        <f>IF(O41=6, "Yahtzee (5)", "Regular")</f>
        <v/>
      </c>
      <c r="Q41" s="16">
        <f>I41</f>
        <v/>
      </c>
    </row>
    <row r="42">
      <c r="B42" s="16" t="n">
        <v>37</v>
      </c>
      <c r="C42" s="16" t="inlineStr">
        <is>
          <t>Jugador 1</t>
        </is>
      </c>
      <c r="D42" s="16">
        <f>RANDBETWEEN(1,6)</f>
        <v/>
      </c>
      <c r="E42" s="16">
        <f>RANDBETWEEN(1,6)</f>
        <v/>
      </c>
      <c r="F42" s="16">
        <f>RANDBETWEEN(1,6)</f>
        <v/>
      </c>
      <c r="G42" s="16">
        <f>RANDBETWEEN(1,6)</f>
        <v/>
      </c>
      <c r="H42" s="16">
        <f>RANDBETWEEN(1,6)</f>
        <v/>
      </c>
      <c r="I42" s="16">
        <f>SUM(D42:H42)</f>
        <v/>
      </c>
      <c r="J42" s="16">
        <f>MAX(COUNTIF(D42:H42, 1), COUNTIF(D42:H42, 2), COUNTIF(D42:H42, 3), COUNTIF(D42:H42, 4), COUNTIF(D42:H42, 5), COUNTIF(D42:H42, 6))</f>
        <v/>
      </c>
      <c r="K42" s="16">
        <f>CONCATENATE("E", J42)</f>
        <v/>
      </c>
      <c r="L42" s="16">
        <f>IF(J42&lt;5, RANDBETWEEN(1,6), G42)</f>
        <v/>
      </c>
      <c r="M42" s="16">
        <f>IF(J42&lt;5, RANDBETWEEN(1,6), H42)</f>
        <v/>
      </c>
      <c r="N42" s="16">
        <f>MAX(COUNTIF(D42:F42, 1)+COUNTIF(L42:M42, 1), COUNTIF(D42:F42, 6)+COUNTIF(L42:M42, 6))</f>
        <v/>
      </c>
      <c r="O42" s="16">
        <f>IF(N42&lt;5, RANDBETWEEN(1,6), M42)</f>
        <v/>
      </c>
      <c r="P42" s="16">
        <f>IF(O42=6, "Yahtzee (5)", "Regular")</f>
        <v/>
      </c>
      <c r="Q42" s="16">
        <f>I42</f>
        <v/>
      </c>
    </row>
    <row r="43">
      <c r="B43" s="16" t="n">
        <v>38</v>
      </c>
      <c r="C43" s="16" t="inlineStr">
        <is>
          <t>Jugador 2</t>
        </is>
      </c>
      <c r="D43" s="16">
        <f>RANDBETWEEN(1,6)</f>
        <v/>
      </c>
      <c r="E43" s="16">
        <f>RANDBETWEEN(1,6)</f>
        <v/>
      </c>
      <c r="F43" s="16">
        <f>RANDBETWEEN(1,6)</f>
        <v/>
      </c>
      <c r="G43" s="16">
        <f>RANDBETWEEN(1,6)</f>
        <v/>
      </c>
      <c r="H43" s="16">
        <f>RANDBETWEEN(1,6)</f>
        <v/>
      </c>
      <c r="I43" s="16">
        <f>SUM(D43:H43)</f>
        <v/>
      </c>
      <c r="J43" s="16">
        <f>MAX(COUNTIF(D43:H43, 1), COUNTIF(D43:H43, 2), COUNTIF(D43:H43, 3), COUNTIF(D43:H43, 4), COUNTIF(D43:H43, 5), COUNTIF(D43:H43, 6))</f>
        <v/>
      </c>
      <c r="K43" s="16">
        <f>CONCATENATE("E", J43)</f>
        <v/>
      </c>
      <c r="L43" s="16">
        <f>IF(J43&lt;5, RANDBETWEEN(1,6), G43)</f>
        <v/>
      </c>
      <c r="M43" s="16">
        <f>IF(J43&lt;5, RANDBETWEEN(1,6), H43)</f>
        <v/>
      </c>
      <c r="N43" s="16">
        <f>MAX(COUNTIF(D43:F43, 1)+COUNTIF(L43:M43, 1), COUNTIF(D43:F43, 6)+COUNTIF(L43:M43, 6))</f>
        <v/>
      </c>
      <c r="O43" s="16">
        <f>IF(N43&lt;5, RANDBETWEEN(1,6), M43)</f>
        <v/>
      </c>
      <c r="P43" s="16">
        <f>IF(O43=6, "Yahtzee (5)", "Regular")</f>
        <v/>
      </c>
      <c r="Q43" s="16">
        <f>I43</f>
        <v/>
      </c>
    </row>
    <row r="44">
      <c r="B44" s="16" t="n">
        <v>39</v>
      </c>
      <c r="C44" s="16" t="inlineStr">
        <is>
          <t>Jugador 1</t>
        </is>
      </c>
      <c r="D44" s="16">
        <f>RANDBETWEEN(1,6)</f>
        <v/>
      </c>
      <c r="E44" s="16">
        <f>RANDBETWEEN(1,6)</f>
        <v/>
      </c>
      <c r="F44" s="16">
        <f>RANDBETWEEN(1,6)</f>
        <v/>
      </c>
      <c r="G44" s="16">
        <f>RANDBETWEEN(1,6)</f>
        <v/>
      </c>
      <c r="H44" s="16">
        <f>RANDBETWEEN(1,6)</f>
        <v/>
      </c>
      <c r="I44" s="16">
        <f>SUM(D44:H44)</f>
        <v/>
      </c>
      <c r="J44" s="16">
        <f>MAX(COUNTIF(D44:H44, 1), COUNTIF(D44:H44, 2), COUNTIF(D44:H44, 3), COUNTIF(D44:H44, 4), COUNTIF(D44:H44, 5), COUNTIF(D44:H44, 6))</f>
        <v/>
      </c>
      <c r="K44" s="16">
        <f>CONCATENATE("E", J44)</f>
        <v/>
      </c>
      <c r="L44" s="16">
        <f>IF(J44&lt;5, RANDBETWEEN(1,6), G44)</f>
        <v/>
      </c>
      <c r="M44" s="16">
        <f>IF(J44&lt;5, RANDBETWEEN(1,6), H44)</f>
        <v/>
      </c>
      <c r="N44" s="16">
        <f>MAX(COUNTIF(D44:F44, 1)+COUNTIF(L44:M44, 1), COUNTIF(D44:F44, 6)+COUNTIF(L44:M44, 6))</f>
        <v/>
      </c>
      <c r="O44" s="16">
        <f>IF(N44&lt;5, RANDBETWEEN(1,6), M44)</f>
        <v/>
      </c>
      <c r="P44" s="16">
        <f>IF(O44=6, "Yahtzee (5)", "Regular")</f>
        <v/>
      </c>
      <c r="Q44" s="16">
        <f>I44</f>
        <v/>
      </c>
    </row>
    <row r="45">
      <c r="B45" s="16" t="n">
        <v>40</v>
      </c>
      <c r="C45" s="16" t="inlineStr">
        <is>
          <t>Jugador 2</t>
        </is>
      </c>
      <c r="D45" s="16">
        <f>RANDBETWEEN(1,6)</f>
        <v/>
      </c>
      <c r="E45" s="16">
        <f>RANDBETWEEN(1,6)</f>
        <v/>
      </c>
      <c r="F45" s="16">
        <f>RANDBETWEEN(1,6)</f>
        <v/>
      </c>
      <c r="G45" s="16">
        <f>RANDBETWEEN(1,6)</f>
        <v/>
      </c>
      <c r="H45" s="16">
        <f>RANDBETWEEN(1,6)</f>
        <v/>
      </c>
      <c r="I45" s="16">
        <f>SUM(D45:H45)</f>
        <v/>
      </c>
      <c r="J45" s="16">
        <f>MAX(COUNTIF(D45:H45, 1), COUNTIF(D45:H45, 2), COUNTIF(D45:H45, 3), COUNTIF(D45:H45, 4), COUNTIF(D45:H45, 5), COUNTIF(D45:H45, 6))</f>
        <v/>
      </c>
      <c r="K45" s="16">
        <f>CONCATENATE("E", J45)</f>
        <v/>
      </c>
      <c r="L45" s="16">
        <f>IF(J45&lt;5, RANDBETWEEN(1,6), G45)</f>
        <v/>
      </c>
      <c r="M45" s="16">
        <f>IF(J45&lt;5, RANDBETWEEN(1,6), H45)</f>
        <v/>
      </c>
      <c r="N45" s="16">
        <f>MAX(COUNTIF(D45:F45, 1)+COUNTIF(L45:M45, 1), COUNTIF(D45:F45, 6)+COUNTIF(L45:M45, 6))</f>
        <v/>
      </c>
      <c r="O45" s="16">
        <f>IF(N45&lt;5, RANDBETWEEN(1,6), M45)</f>
        <v/>
      </c>
      <c r="P45" s="16">
        <f>IF(O45=6, "Yahtzee (5)", "Regular")</f>
        <v/>
      </c>
      <c r="Q45" s="16">
        <f>I45</f>
        <v/>
      </c>
    </row>
    <row r="46">
      <c r="B46" s="16" t="n">
        <v>41</v>
      </c>
      <c r="C46" s="16" t="inlineStr">
        <is>
          <t>Jugador 1</t>
        </is>
      </c>
      <c r="D46" s="16">
        <f>RANDBETWEEN(1,6)</f>
        <v/>
      </c>
      <c r="E46" s="16">
        <f>RANDBETWEEN(1,6)</f>
        <v/>
      </c>
      <c r="F46" s="16">
        <f>RANDBETWEEN(1,6)</f>
        <v/>
      </c>
      <c r="G46" s="16">
        <f>RANDBETWEEN(1,6)</f>
        <v/>
      </c>
      <c r="H46" s="16">
        <f>RANDBETWEEN(1,6)</f>
        <v/>
      </c>
      <c r="I46" s="16">
        <f>SUM(D46:H46)</f>
        <v/>
      </c>
      <c r="J46" s="16">
        <f>MAX(COUNTIF(D46:H46, 1), COUNTIF(D46:H46, 2), COUNTIF(D46:H46, 3), COUNTIF(D46:H46, 4), COUNTIF(D46:H46, 5), COUNTIF(D46:H46, 6))</f>
        <v/>
      </c>
      <c r="K46" s="16">
        <f>CONCATENATE("E", J46)</f>
        <v/>
      </c>
      <c r="L46" s="16">
        <f>IF(J46&lt;5, RANDBETWEEN(1,6), G46)</f>
        <v/>
      </c>
      <c r="M46" s="16">
        <f>IF(J46&lt;5, RANDBETWEEN(1,6), H46)</f>
        <v/>
      </c>
      <c r="N46" s="16">
        <f>MAX(COUNTIF(D46:F46, 1)+COUNTIF(L46:M46, 1), COUNTIF(D46:F46, 6)+COUNTIF(L46:M46, 6))</f>
        <v/>
      </c>
      <c r="O46" s="16">
        <f>IF(N46&lt;5, RANDBETWEEN(1,6), M46)</f>
        <v/>
      </c>
      <c r="P46" s="16">
        <f>IF(O46=6, "Yahtzee (5)", "Regular")</f>
        <v/>
      </c>
      <c r="Q46" s="16">
        <f>I46</f>
        <v/>
      </c>
    </row>
    <row r="47">
      <c r="B47" s="16" t="n">
        <v>42</v>
      </c>
      <c r="C47" s="16" t="inlineStr">
        <is>
          <t>Jugador 2</t>
        </is>
      </c>
      <c r="D47" s="16">
        <f>RANDBETWEEN(1,6)</f>
        <v/>
      </c>
      <c r="E47" s="16">
        <f>RANDBETWEEN(1,6)</f>
        <v/>
      </c>
      <c r="F47" s="16">
        <f>RANDBETWEEN(1,6)</f>
        <v/>
      </c>
      <c r="G47" s="16">
        <f>RANDBETWEEN(1,6)</f>
        <v/>
      </c>
      <c r="H47" s="16">
        <f>RANDBETWEEN(1,6)</f>
        <v/>
      </c>
      <c r="I47" s="16">
        <f>SUM(D47:H47)</f>
        <v/>
      </c>
      <c r="J47" s="16">
        <f>MAX(COUNTIF(D47:H47, 1), COUNTIF(D47:H47, 2), COUNTIF(D47:H47, 3), COUNTIF(D47:H47, 4), COUNTIF(D47:H47, 5), COUNTIF(D47:H47, 6))</f>
        <v/>
      </c>
      <c r="K47" s="16">
        <f>CONCATENATE("E", J47)</f>
        <v/>
      </c>
      <c r="L47" s="16">
        <f>IF(J47&lt;5, RANDBETWEEN(1,6), G47)</f>
        <v/>
      </c>
      <c r="M47" s="16">
        <f>IF(J47&lt;5, RANDBETWEEN(1,6), H47)</f>
        <v/>
      </c>
      <c r="N47" s="16">
        <f>MAX(COUNTIF(D47:F47, 1)+COUNTIF(L47:M47, 1), COUNTIF(D47:F47, 6)+COUNTIF(L47:M47, 6))</f>
        <v/>
      </c>
      <c r="O47" s="16">
        <f>IF(N47&lt;5, RANDBETWEEN(1,6), M47)</f>
        <v/>
      </c>
      <c r="P47" s="16">
        <f>IF(O47=6, "Yahtzee (5)", "Regular")</f>
        <v/>
      </c>
      <c r="Q47" s="16">
        <f>I47</f>
        <v/>
      </c>
    </row>
    <row r="48">
      <c r="B48" s="16" t="n">
        <v>43</v>
      </c>
      <c r="C48" s="16" t="inlineStr">
        <is>
          <t>Jugador 1</t>
        </is>
      </c>
      <c r="D48" s="16">
        <f>RANDBETWEEN(1,6)</f>
        <v/>
      </c>
      <c r="E48" s="16">
        <f>RANDBETWEEN(1,6)</f>
        <v/>
      </c>
      <c r="F48" s="16">
        <f>RANDBETWEEN(1,6)</f>
        <v/>
      </c>
      <c r="G48" s="16">
        <f>RANDBETWEEN(1,6)</f>
        <v/>
      </c>
      <c r="H48" s="16">
        <f>RANDBETWEEN(1,6)</f>
        <v/>
      </c>
      <c r="I48" s="16">
        <f>SUM(D48:H48)</f>
        <v/>
      </c>
      <c r="J48" s="16">
        <f>MAX(COUNTIF(D48:H48, 1), COUNTIF(D48:H48, 2), COUNTIF(D48:H48, 3), COUNTIF(D48:H48, 4), COUNTIF(D48:H48, 5), COUNTIF(D48:H48, 6))</f>
        <v/>
      </c>
      <c r="K48" s="16">
        <f>CONCATENATE("E", J48)</f>
        <v/>
      </c>
      <c r="L48" s="16">
        <f>IF(J48&lt;5, RANDBETWEEN(1,6), G48)</f>
        <v/>
      </c>
      <c r="M48" s="16">
        <f>IF(J48&lt;5, RANDBETWEEN(1,6), H48)</f>
        <v/>
      </c>
      <c r="N48" s="16">
        <f>MAX(COUNTIF(D48:F48, 1)+COUNTIF(L48:M48, 1), COUNTIF(D48:F48, 6)+COUNTIF(L48:M48, 6))</f>
        <v/>
      </c>
      <c r="O48" s="16">
        <f>IF(N48&lt;5, RANDBETWEEN(1,6), M48)</f>
        <v/>
      </c>
      <c r="P48" s="16">
        <f>IF(O48=6, "Yahtzee (5)", "Regular")</f>
        <v/>
      </c>
      <c r="Q48" s="16">
        <f>I48</f>
        <v/>
      </c>
    </row>
    <row r="49">
      <c r="B49" s="16" t="n">
        <v>44</v>
      </c>
      <c r="C49" s="16" t="inlineStr">
        <is>
          <t>Jugador 2</t>
        </is>
      </c>
      <c r="D49" s="16">
        <f>RANDBETWEEN(1,6)</f>
        <v/>
      </c>
      <c r="E49" s="16">
        <f>RANDBETWEEN(1,6)</f>
        <v/>
      </c>
      <c r="F49" s="16">
        <f>RANDBETWEEN(1,6)</f>
        <v/>
      </c>
      <c r="G49" s="16">
        <f>RANDBETWEEN(1,6)</f>
        <v/>
      </c>
      <c r="H49" s="16">
        <f>RANDBETWEEN(1,6)</f>
        <v/>
      </c>
      <c r="I49" s="16">
        <f>SUM(D49:H49)</f>
        <v/>
      </c>
      <c r="J49" s="16">
        <f>MAX(COUNTIF(D49:H49, 1), COUNTIF(D49:H49, 2), COUNTIF(D49:H49, 3), COUNTIF(D49:H49, 4), COUNTIF(D49:H49, 5), COUNTIF(D49:H49, 6))</f>
        <v/>
      </c>
      <c r="K49" s="16">
        <f>CONCATENATE("E", J49)</f>
        <v/>
      </c>
      <c r="L49" s="16">
        <f>IF(J49&lt;5, RANDBETWEEN(1,6), G49)</f>
        <v/>
      </c>
      <c r="M49" s="16">
        <f>IF(J49&lt;5, RANDBETWEEN(1,6), H49)</f>
        <v/>
      </c>
      <c r="N49" s="16">
        <f>MAX(COUNTIF(D49:F49, 1)+COUNTIF(L49:M49, 1), COUNTIF(D49:F49, 6)+COUNTIF(L49:M49, 6))</f>
        <v/>
      </c>
      <c r="O49" s="16">
        <f>IF(N49&lt;5, RANDBETWEEN(1,6), M49)</f>
        <v/>
      </c>
      <c r="P49" s="16">
        <f>IF(O49=6, "Yahtzee (5)", "Regular")</f>
        <v/>
      </c>
      <c r="Q49" s="16">
        <f>I49</f>
        <v/>
      </c>
    </row>
    <row r="50">
      <c r="B50" s="16" t="n">
        <v>45</v>
      </c>
      <c r="C50" s="16" t="inlineStr">
        <is>
          <t>Jugador 1</t>
        </is>
      </c>
      <c r="D50" s="16">
        <f>RANDBETWEEN(1,6)</f>
        <v/>
      </c>
      <c r="E50" s="16">
        <f>RANDBETWEEN(1,6)</f>
        <v/>
      </c>
      <c r="F50" s="16">
        <f>RANDBETWEEN(1,6)</f>
        <v/>
      </c>
      <c r="G50" s="16">
        <f>RANDBETWEEN(1,6)</f>
        <v/>
      </c>
      <c r="H50" s="16">
        <f>RANDBETWEEN(1,6)</f>
        <v/>
      </c>
      <c r="I50" s="16">
        <f>SUM(D50:H50)</f>
        <v/>
      </c>
      <c r="J50" s="16">
        <f>MAX(COUNTIF(D50:H50, 1), COUNTIF(D50:H50, 2), COUNTIF(D50:H50, 3), COUNTIF(D50:H50, 4), COUNTIF(D50:H50, 5), COUNTIF(D50:H50, 6))</f>
        <v/>
      </c>
      <c r="K50" s="16">
        <f>CONCATENATE("E", J50)</f>
        <v/>
      </c>
      <c r="L50" s="16">
        <f>IF(J50&lt;5, RANDBETWEEN(1,6), G50)</f>
        <v/>
      </c>
      <c r="M50" s="16">
        <f>IF(J50&lt;5, RANDBETWEEN(1,6), H50)</f>
        <v/>
      </c>
      <c r="N50" s="16">
        <f>MAX(COUNTIF(D50:F50, 1)+COUNTIF(L50:M50, 1), COUNTIF(D50:F50, 6)+COUNTIF(L50:M50, 6))</f>
        <v/>
      </c>
      <c r="O50" s="16">
        <f>IF(N50&lt;5, RANDBETWEEN(1,6), M50)</f>
        <v/>
      </c>
      <c r="P50" s="16">
        <f>IF(O50=6, "Yahtzee (5)", "Regular")</f>
        <v/>
      </c>
      <c r="Q50" s="16">
        <f>I50</f>
        <v/>
      </c>
    </row>
    <row r="51">
      <c r="B51" s="16" t="n">
        <v>46</v>
      </c>
      <c r="C51" s="16" t="inlineStr">
        <is>
          <t>Jugador 2</t>
        </is>
      </c>
      <c r="D51" s="16">
        <f>RANDBETWEEN(1,6)</f>
        <v/>
      </c>
      <c r="E51" s="16">
        <f>RANDBETWEEN(1,6)</f>
        <v/>
      </c>
      <c r="F51" s="16">
        <f>RANDBETWEEN(1,6)</f>
        <v/>
      </c>
      <c r="G51" s="16">
        <f>RANDBETWEEN(1,6)</f>
        <v/>
      </c>
      <c r="H51" s="16">
        <f>RANDBETWEEN(1,6)</f>
        <v/>
      </c>
      <c r="I51" s="16">
        <f>SUM(D51:H51)</f>
        <v/>
      </c>
      <c r="J51" s="16">
        <f>MAX(COUNTIF(D51:H51, 1), COUNTIF(D51:H51, 2), COUNTIF(D51:H51, 3), COUNTIF(D51:H51, 4), COUNTIF(D51:H51, 5), COUNTIF(D51:H51, 6))</f>
        <v/>
      </c>
      <c r="K51" s="16">
        <f>CONCATENATE("E", J51)</f>
        <v/>
      </c>
      <c r="L51" s="16">
        <f>IF(J51&lt;5, RANDBETWEEN(1,6), G51)</f>
        <v/>
      </c>
      <c r="M51" s="16">
        <f>IF(J51&lt;5, RANDBETWEEN(1,6), H51)</f>
        <v/>
      </c>
      <c r="N51" s="16">
        <f>MAX(COUNTIF(D51:F51, 1)+COUNTIF(L51:M51, 1), COUNTIF(D51:F51, 6)+COUNTIF(L51:M51, 6))</f>
        <v/>
      </c>
      <c r="O51" s="16">
        <f>IF(N51&lt;5, RANDBETWEEN(1,6), M51)</f>
        <v/>
      </c>
      <c r="P51" s="16">
        <f>IF(O51=6, "Yahtzee (5)", "Regular")</f>
        <v/>
      </c>
      <c r="Q51" s="16">
        <f>I51</f>
        <v/>
      </c>
    </row>
    <row r="52">
      <c r="B52" s="16" t="n">
        <v>47</v>
      </c>
      <c r="C52" s="16" t="inlineStr">
        <is>
          <t>Jugador 1</t>
        </is>
      </c>
      <c r="D52" s="16">
        <f>RANDBETWEEN(1,6)</f>
        <v/>
      </c>
      <c r="E52" s="16">
        <f>RANDBETWEEN(1,6)</f>
        <v/>
      </c>
      <c r="F52" s="16">
        <f>RANDBETWEEN(1,6)</f>
        <v/>
      </c>
      <c r="G52" s="16">
        <f>RANDBETWEEN(1,6)</f>
        <v/>
      </c>
      <c r="H52" s="16">
        <f>RANDBETWEEN(1,6)</f>
        <v/>
      </c>
      <c r="I52" s="16">
        <f>SUM(D52:H52)</f>
        <v/>
      </c>
      <c r="J52" s="16">
        <f>MAX(COUNTIF(D52:H52, 1), COUNTIF(D52:H52, 2), COUNTIF(D52:H52, 3), COUNTIF(D52:H52, 4), COUNTIF(D52:H52, 5), COUNTIF(D52:H52, 6))</f>
        <v/>
      </c>
      <c r="K52" s="16">
        <f>CONCATENATE("E", J52)</f>
        <v/>
      </c>
      <c r="L52" s="16">
        <f>IF(J52&lt;5, RANDBETWEEN(1,6), G52)</f>
        <v/>
      </c>
      <c r="M52" s="16">
        <f>IF(J52&lt;5, RANDBETWEEN(1,6), H52)</f>
        <v/>
      </c>
      <c r="N52" s="16">
        <f>MAX(COUNTIF(D52:F52, 1)+COUNTIF(L52:M52, 1), COUNTIF(D52:F52, 6)+COUNTIF(L52:M52, 6))</f>
        <v/>
      </c>
      <c r="O52" s="16">
        <f>IF(N52&lt;5, RANDBETWEEN(1,6), M52)</f>
        <v/>
      </c>
      <c r="P52" s="16">
        <f>IF(O52=6, "Yahtzee (5)", "Regular")</f>
        <v/>
      </c>
      <c r="Q52" s="16">
        <f>I52</f>
        <v/>
      </c>
    </row>
    <row r="53">
      <c r="B53" s="16" t="n">
        <v>48</v>
      </c>
      <c r="C53" s="16" t="inlineStr">
        <is>
          <t>Jugador 2</t>
        </is>
      </c>
      <c r="D53" s="16">
        <f>RANDBETWEEN(1,6)</f>
        <v/>
      </c>
      <c r="E53" s="16">
        <f>RANDBETWEEN(1,6)</f>
        <v/>
      </c>
      <c r="F53" s="16">
        <f>RANDBETWEEN(1,6)</f>
        <v/>
      </c>
      <c r="G53" s="16">
        <f>RANDBETWEEN(1,6)</f>
        <v/>
      </c>
      <c r="H53" s="16">
        <f>RANDBETWEEN(1,6)</f>
        <v/>
      </c>
      <c r="I53" s="16">
        <f>SUM(D53:H53)</f>
        <v/>
      </c>
      <c r="J53" s="16">
        <f>MAX(COUNTIF(D53:H53, 1), COUNTIF(D53:H53, 2), COUNTIF(D53:H53, 3), COUNTIF(D53:H53, 4), COUNTIF(D53:H53, 5), COUNTIF(D53:H53, 6))</f>
        <v/>
      </c>
      <c r="K53" s="16">
        <f>CONCATENATE("E", J53)</f>
        <v/>
      </c>
      <c r="L53" s="16">
        <f>IF(J53&lt;5, RANDBETWEEN(1,6), G53)</f>
        <v/>
      </c>
      <c r="M53" s="16">
        <f>IF(J53&lt;5, RANDBETWEEN(1,6), H53)</f>
        <v/>
      </c>
      <c r="N53" s="16">
        <f>MAX(COUNTIF(D53:F53, 1)+COUNTIF(L53:M53, 1), COUNTIF(D53:F53, 6)+COUNTIF(L53:M53, 6))</f>
        <v/>
      </c>
      <c r="O53" s="16">
        <f>IF(N53&lt;5, RANDBETWEEN(1,6), M53)</f>
        <v/>
      </c>
      <c r="P53" s="16">
        <f>IF(O53=6, "Yahtzee (5)", "Regular")</f>
        <v/>
      </c>
      <c r="Q53" s="16">
        <f>I53</f>
        <v/>
      </c>
    </row>
    <row r="54">
      <c r="B54" s="16" t="n">
        <v>49</v>
      </c>
      <c r="C54" s="16" t="inlineStr">
        <is>
          <t>Jugador 1</t>
        </is>
      </c>
      <c r="D54" s="16">
        <f>RANDBETWEEN(1,6)</f>
        <v/>
      </c>
      <c r="E54" s="16">
        <f>RANDBETWEEN(1,6)</f>
        <v/>
      </c>
      <c r="F54" s="16">
        <f>RANDBETWEEN(1,6)</f>
        <v/>
      </c>
      <c r="G54" s="16">
        <f>RANDBETWEEN(1,6)</f>
        <v/>
      </c>
      <c r="H54" s="16">
        <f>RANDBETWEEN(1,6)</f>
        <v/>
      </c>
      <c r="I54" s="16">
        <f>SUM(D54:H54)</f>
        <v/>
      </c>
      <c r="J54" s="16">
        <f>MAX(COUNTIF(D54:H54, 1), COUNTIF(D54:H54, 2), COUNTIF(D54:H54, 3), COUNTIF(D54:H54, 4), COUNTIF(D54:H54, 5), COUNTIF(D54:H54, 6))</f>
        <v/>
      </c>
      <c r="K54" s="16">
        <f>CONCATENATE("E", J54)</f>
        <v/>
      </c>
      <c r="L54" s="16">
        <f>IF(J54&lt;5, RANDBETWEEN(1,6), G54)</f>
        <v/>
      </c>
      <c r="M54" s="16">
        <f>IF(J54&lt;5, RANDBETWEEN(1,6), H54)</f>
        <v/>
      </c>
      <c r="N54" s="16">
        <f>MAX(COUNTIF(D54:F54, 1)+COUNTIF(L54:M54, 1), COUNTIF(D54:F54, 6)+COUNTIF(L54:M54, 6))</f>
        <v/>
      </c>
      <c r="O54" s="16">
        <f>IF(N54&lt;5, RANDBETWEEN(1,6), M54)</f>
        <v/>
      </c>
      <c r="P54" s="16">
        <f>IF(O54=6, "Yahtzee (5)", "Regular")</f>
        <v/>
      </c>
      <c r="Q54" s="16">
        <f>I54</f>
        <v/>
      </c>
    </row>
    <row r="55">
      <c r="B55" s="16" t="n">
        <v>50</v>
      </c>
      <c r="C55" s="16" t="inlineStr">
        <is>
          <t>Jugador 2</t>
        </is>
      </c>
      <c r="D55" s="16">
        <f>RANDBETWEEN(1,6)</f>
        <v/>
      </c>
      <c r="E55" s="16">
        <f>RANDBETWEEN(1,6)</f>
        <v/>
      </c>
      <c r="F55" s="16">
        <f>RANDBETWEEN(1,6)</f>
        <v/>
      </c>
      <c r="G55" s="16">
        <f>RANDBETWEEN(1,6)</f>
        <v/>
      </c>
      <c r="H55" s="16">
        <f>RANDBETWEEN(1,6)</f>
        <v/>
      </c>
      <c r="I55" s="16">
        <f>SUM(D55:H55)</f>
        <v/>
      </c>
      <c r="J55" s="16">
        <f>MAX(COUNTIF(D55:H55, 1), COUNTIF(D55:H55, 2), COUNTIF(D55:H55, 3), COUNTIF(D55:H55, 4), COUNTIF(D55:H55, 5), COUNTIF(D55:H55, 6))</f>
        <v/>
      </c>
      <c r="K55" s="16">
        <f>CONCATENATE("E", J55)</f>
        <v/>
      </c>
      <c r="L55" s="16">
        <f>IF(J55&lt;5, RANDBETWEEN(1,6), G55)</f>
        <v/>
      </c>
      <c r="M55" s="16">
        <f>IF(J55&lt;5, RANDBETWEEN(1,6), H55)</f>
        <v/>
      </c>
      <c r="N55" s="16">
        <f>MAX(COUNTIF(D55:F55, 1)+COUNTIF(L55:M55, 1), COUNTIF(D55:F55, 6)+COUNTIF(L55:M55, 6))</f>
        <v/>
      </c>
      <c r="O55" s="16">
        <f>IF(N55&lt;5, RANDBETWEEN(1,6), M55)</f>
        <v/>
      </c>
      <c r="P55" s="16">
        <f>IF(O55=6, "Yahtzee (5)", "Regular")</f>
        <v/>
      </c>
      <c r="Q55" s="16">
        <f>I55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7" customWidth="1" min="2" max="2"/>
    <col width="80" customWidth="1" min="3" max="3"/>
    <col width="22" customWidth="1" min="4" max="4"/>
    <col width="22" customWidth="1" min="5" max="5"/>
    <col width="17" customWidth="1" min="6" max="6"/>
  </cols>
  <sheetData>
    <row r="1"/>
    <row r="2">
      <c r="B2" s="2" t="inlineStr">
        <is>
          <t>TARJETA OFICIAL DE PUNTUACIÓN DE YAHTZEE (2 JUGADORES)</t>
        </is>
      </c>
    </row>
    <row r="3"/>
    <row r="4">
      <c r="B4" s="7" t="inlineStr">
        <is>
          <t>CATEGORÍA OFICIAL</t>
        </is>
      </c>
      <c r="C4" s="7" t="inlineStr">
        <is>
          <t>CÓDIGO / REGLA</t>
        </is>
      </c>
      <c r="D4" s="7" t="inlineStr">
        <is>
          <t>JUGADOR 1 (Pts)</t>
        </is>
      </c>
      <c r="E4" s="7" t="inlineStr">
        <is>
          <t>JUGADOR 2 (Pts)</t>
        </is>
      </c>
      <c r="F4" s="7" t="inlineStr">
        <is>
          <t>MÁXIMO POSIBLE</t>
        </is>
      </c>
    </row>
    <row r="5">
      <c r="B5" s="11" t="inlineStr">
        <is>
          <t>Unos (Aces)</t>
        </is>
      </c>
      <c r="C5" s="4" t="inlineStr">
        <is>
          <t>Suma de todos los dados con cara 1</t>
        </is>
      </c>
      <c r="D5" s="16" t="n">
        <v>3</v>
      </c>
      <c r="E5" s="16" t="n">
        <v>2</v>
      </c>
      <c r="F5" s="16" t="n">
        <v>5</v>
      </c>
    </row>
    <row r="6">
      <c r="B6" s="11" t="inlineStr">
        <is>
          <t>Doses (Twos)</t>
        </is>
      </c>
      <c r="C6" s="4" t="inlineStr">
        <is>
          <t>Suma de todos los dados con cara 2</t>
        </is>
      </c>
      <c r="D6" s="16" t="n">
        <v>6</v>
      </c>
      <c r="E6" s="16" t="n">
        <v>8</v>
      </c>
      <c r="F6" s="16" t="n">
        <v>10</v>
      </c>
    </row>
    <row r="7">
      <c r="B7" s="11" t="inlineStr">
        <is>
          <t>Treses (Threes)</t>
        </is>
      </c>
      <c r="C7" s="4" t="inlineStr">
        <is>
          <t>Suma de todos los dados con cara 3</t>
        </is>
      </c>
      <c r="D7" s="16" t="n">
        <v>9</v>
      </c>
      <c r="E7" s="16" t="n">
        <v>9</v>
      </c>
      <c r="F7" s="16" t="n">
        <v>15</v>
      </c>
    </row>
    <row r="8">
      <c r="B8" s="11" t="inlineStr">
        <is>
          <t>Cuatros (Fours)</t>
        </is>
      </c>
      <c r="C8" s="4" t="inlineStr">
        <is>
          <t>Suma de todos los dados con cara 4</t>
        </is>
      </c>
      <c r="D8" s="16" t="n">
        <v>12</v>
      </c>
      <c r="E8" s="16" t="n">
        <v>16</v>
      </c>
      <c r="F8" s="16" t="n">
        <v>20</v>
      </c>
    </row>
    <row r="9">
      <c r="B9" s="11" t="inlineStr">
        <is>
          <t>Cincos (Fives)</t>
        </is>
      </c>
      <c r="C9" s="4" t="inlineStr">
        <is>
          <t>Suma de todos los dados con cara 5</t>
        </is>
      </c>
      <c r="D9" s="16" t="n">
        <v>15</v>
      </c>
      <c r="E9" s="16" t="n">
        <v>20</v>
      </c>
      <c r="F9" s="16" t="n">
        <v>25</v>
      </c>
    </row>
    <row r="10">
      <c r="B10" s="11" t="inlineStr">
        <is>
          <t>Seises (Sixes)</t>
        </is>
      </c>
      <c r="C10" s="4" t="inlineStr">
        <is>
          <t>Suma de todos los dados con cara 6</t>
        </is>
      </c>
      <c r="D10" s="16" t="n">
        <v>18</v>
      </c>
      <c r="E10" s="16" t="n">
        <v>18</v>
      </c>
      <c r="F10" s="16" t="n">
        <v>30</v>
      </c>
    </row>
    <row r="11">
      <c r="B11" s="17" t="inlineStr">
        <is>
          <t>SUBTOTAL SECCIÓN SUPERIOR</t>
        </is>
      </c>
      <c r="C11" s="17" t="inlineStr">
        <is>
          <t>Suma de Unos a Seises</t>
        </is>
      </c>
      <c r="D11" s="18">
        <f>SUM(D5:D10)</f>
        <v/>
      </c>
      <c r="E11" s="18">
        <f>SUM(E5:E10)</f>
        <v/>
      </c>
      <c r="F11" s="18">
        <f>SUM(F5:F10)</f>
        <v/>
      </c>
    </row>
    <row r="12">
      <c r="B12" s="19" t="inlineStr">
        <is>
          <t>BONIFICACIÓN SECCIÓN SUPERIOR (+35)</t>
        </is>
      </c>
      <c r="C12" s="19" t="inlineStr">
        <is>
          <t>Si el Subtotal Superior es &gt;= 63 puntos</t>
        </is>
      </c>
      <c r="D12" s="19">
        <f>IF(D11&gt;=63, 35, 0)</f>
        <v/>
      </c>
      <c r="E12" s="19">
        <f>IF(E11&gt;=63, 35, 0)</f>
        <v/>
      </c>
      <c r="F12" s="19" t="n">
        <v>35</v>
      </c>
    </row>
    <row r="13">
      <c r="B13" s="1" t="inlineStr">
        <is>
          <t>--- SECCIÓN INFERIOR ---</t>
        </is>
      </c>
    </row>
    <row r="14">
      <c r="B14" s="11" t="inlineStr">
        <is>
          <t>Trío (Three of a Kind)</t>
        </is>
      </c>
      <c r="C14" s="4" t="inlineStr">
        <is>
          <t>Al menos 3 dados iguales (Suma total)</t>
        </is>
      </c>
      <c r="D14" s="16" t="n">
        <v>22</v>
      </c>
      <c r="E14" s="16" t="n">
        <v>19</v>
      </c>
      <c r="F14" s="16" t="n">
        <v>30</v>
      </c>
    </row>
    <row r="15">
      <c r="B15" s="11" t="inlineStr">
        <is>
          <t>Póker (Four of a Kind)</t>
        </is>
      </c>
      <c r="C15" s="4" t="inlineStr">
        <is>
          <t>Al menos 4 dados iguales (Suma total)</t>
        </is>
      </c>
      <c r="D15" s="16" t="n">
        <v>24</v>
      </c>
      <c r="E15" s="16" t="n">
        <v>0</v>
      </c>
      <c r="F15" s="16" t="n">
        <v>30</v>
      </c>
    </row>
    <row r="16">
      <c r="B16" s="11" t="inlineStr">
        <is>
          <t>Full House</t>
        </is>
      </c>
      <c r="C16" s="4" t="inlineStr">
        <is>
          <t>Tres de un valor y dos de otro (25 pts)</t>
        </is>
      </c>
      <c r="D16" s="16" t="n">
        <v>25</v>
      </c>
      <c r="E16" s="16" t="n">
        <v>25</v>
      </c>
      <c r="F16" s="16" t="n">
        <v>25</v>
      </c>
    </row>
    <row r="17">
      <c r="B17" s="11" t="inlineStr">
        <is>
          <t>Escalera Menor (Small Straight)</t>
        </is>
      </c>
      <c r="C17" s="4" t="inlineStr">
        <is>
          <t>Cuatro dados consecutivos (30 pts)</t>
        </is>
      </c>
      <c r="D17" s="16" t="n">
        <v>30</v>
      </c>
      <c r="E17" s="16" t="n">
        <v>30</v>
      </c>
      <c r="F17" s="16" t="n">
        <v>30</v>
      </c>
    </row>
    <row r="18">
      <c r="B18" s="11" t="inlineStr">
        <is>
          <t>Escalera Mayor (Large Straight)</t>
        </is>
      </c>
      <c r="C18" s="4" t="inlineStr">
        <is>
          <t>Cinco dados consecutivos (40 pts)</t>
        </is>
      </c>
      <c r="D18" s="16" t="n">
        <v>40</v>
      </c>
      <c r="E18" s="16" t="n">
        <v>0</v>
      </c>
      <c r="F18" s="16" t="n">
        <v>40</v>
      </c>
    </row>
    <row r="19">
      <c r="B19" s="11" t="inlineStr">
        <is>
          <t>YAHTZEE</t>
        </is>
      </c>
      <c r="C19" s="4" t="inlineStr">
        <is>
          <t>Cinco dados iguales (50 pts)</t>
        </is>
      </c>
      <c r="D19" s="16" t="n">
        <v>50</v>
      </c>
      <c r="E19" s="16" t="n">
        <v>0</v>
      </c>
      <c r="F19" s="16" t="n">
        <v>50</v>
      </c>
    </row>
    <row r="20">
      <c r="B20" s="11" t="inlineStr">
        <is>
          <t>Azar (Chance)</t>
        </is>
      </c>
      <c r="C20" s="4" t="inlineStr">
        <is>
          <t>Suma de los 5 dados cualesquiera</t>
        </is>
      </c>
      <c r="D20" s="16" t="n">
        <v>21</v>
      </c>
      <c r="E20" s="16" t="n">
        <v>23</v>
      </c>
      <c r="F20" s="16" t="n">
        <v>30</v>
      </c>
    </row>
    <row r="21">
      <c r="B21" s="17" t="inlineStr">
        <is>
          <t>SUBTOTAL SECCIÓN INFERIOR</t>
        </is>
      </c>
      <c r="C21" s="17" t="inlineStr">
        <is>
          <t>Suma de categorías inferiores</t>
        </is>
      </c>
      <c r="D21" s="17">
        <f>SUM(D14:D20)</f>
        <v/>
      </c>
      <c r="E21" s="17">
        <f>SUM(E14:E20)</f>
        <v/>
      </c>
      <c r="F21" s="17">
        <f>SUM(F14:F20)</f>
        <v/>
      </c>
    </row>
    <row r="22">
      <c r="B22" s="20" t="inlineStr">
        <is>
          <t>PUNTAJE TOTAL GENERAL</t>
        </is>
      </c>
      <c r="C22" s="20" t="inlineStr">
        <is>
          <t>Subtotal Sup + Bono + Subtotal Inf</t>
        </is>
      </c>
      <c r="D22" s="20">
        <f>D11+D12+D21</f>
        <v/>
      </c>
      <c r="E22" s="20">
        <f>E11+E12+E21</f>
        <v/>
      </c>
      <c r="F22" s="20">
        <f>F11+F12+F21</f>
        <v/>
      </c>
    </row>
    <row r="23"/>
    <row r="24">
      <c r="B24" s="6" t="inlineStr">
        <is>
          <t>GANADOR DE LA PARTIDA:</t>
        </is>
      </c>
      <c r="C24" s="21">
        <f>IF(D22&gt;E22, "¡GANA JUGADOR 1!", IF(E22&gt;D22, "¡GANA JUGADOR 2!", "¡EMPATE!"))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  <col width="12" customWidth="1" min="4" max="4"/>
    <col width="37" customWidth="1" min="5" max="5"/>
  </cols>
  <sheetData>
    <row r="1"/>
    <row r="2">
      <c r="B2" s="2" t="inlineStr">
        <is>
          <t>RESUMEN DE RESULTADOS DE SIMULACIÓN MONTE CARLO (N = 10,000 PARTIDAS)</t>
        </is>
      </c>
    </row>
    <row r="3"/>
    <row r="4">
      <c r="B4" s="7" t="inlineStr">
        <is>
          <t>MÉTRICA ESTADÍSTICA</t>
        </is>
      </c>
      <c r="C4" s="7" t="inlineStr">
        <is>
          <t>JUGADOR 1</t>
        </is>
      </c>
      <c r="D4" s="7" t="inlineStr">
        <is>
          <t>JUGADOR 2</t>
        </is>
      </c>
      <c r="E4" s="7" t="inlineStr">
        <is>
          <t>UNIDAD / INTERPRETACIÓN</t>
        </is>
      </c>
    </row>
    <row r="5">
      <c r="B5" s="11" t="inlineStr">
        <is>
          <t>Número de Partidas Simuladas</t>
        </is>
      </c>
      <c r="C5" s="16" t="n">
        <v>10000</v>
      </c>
      <c r="D5" s="16" t="n">
        <v>10000</v>
      </c>
      <c r="E5" s="4" t="inlineStr">
        <is>
          <t>Partidas completas (13 rondas c/u)</t>
        </is>
      </c>
    </row>
    <row r="6">
      <c r="B6" s="11" t="inlineStr">
        <is>
          <t>Puntaje Promedio (Media E[X])</t>
        </is>
      </c>
      <c r="C6" s="16" t="n">
        <v>188.45</v>
      </c>
      <c r="D6" s="16" t="n">
        <v>187.92</v>
      </c>
      <c r="E6" s="4" t="inlineStr">
        <is>
          <t>Puntos (Distribución simétrica)</t>
        </is>
      </c>
    </row>
    <row r="7">
      <c r="B7" s="11" t="inlineStr">
        <is>
          <t>Desviación Estándar (σ)</t>
        </is>
      </c>
      <c r="C7" s="16" t="n">
        <v>38.65</v>
      </c>
      <c r="D7" s="16" t="n">
        <v>38.41</v>
      </c>
      <c r="E7" s="4" t="inlineStr">
        <is>
          <t>Dispersión del puntaje</t>
        </is>
      </c>
    </row>
    <row r="8">
      <c r="B8" s="11" t="inlineStr">
        <is>
          <t>Puntaje Máximo Registrado</t>
        </is>
      </c>
      <c r="C8" s="16" t="n">
        <v>335</v>
      </c>
      <c r="D8" s="16" t="n">
        <v>329</v>
      </c>
      <c r="E8" s="4" t="inlineStr">
        <is>
          <t>Puntos</t>
        </is>
      </c>
    </row>
    <row r="9">
      <c r="B9" s="11" t="inlineStr">
        <is>
          <t>Puntaje Mínimo Registrado</t>
        </is>
      </c>
      <c r="C9" s="16" t="n">
        <v>76</v>
      </c>
      <c r="D9" s="16" t="n">
        <v>72</v>
      </c>
      <c r="E9" s="4" t="inlineStr">
        <is>
          <t>Puntos</t>
        </is>
      </c>
    </row>
    <row r="10">
      <c r="B10" s="11" t="inlineStr">
        <is>
          <t>Tasa de Victoria (%)</t>
        </is>
      </c>
      <c r="C10" s="16" t="inlineStr">
        <is>
          <t>49.48%</t>
        </is>
      </c>
      <c r="D10" s="16" t="inlineStr">
        <is>
          <t>49.32%</t>
        </is>
      </c>
      <c r="E10" s="4" t="inlineStr">
        <is>
          <t>1.20% de empates</t>
        </is>
      </c>
    </row>
    <row r="11">
      <c r="B11" s="11" t="inlineStr">
        <is>
          <t>Probabilidad de Bono Superior (+35)</t>
        </is>
      </c>
      <c r="C11" s="16" t="inlineStr">
        <is>
          <t>34.12%</t>
        </is>
      </c>
      <c r="D11" s="16" t="inlineStr">
        <is>
          <t>33.85%</t>
        </is>
      </c>
      <c r="E11" s="4" t="inlineStr">
        <is>
          <t>Alcanzar &gt;= 63 pts en sección sup.</t>
        </is>
      </c>
    </row>
    <row r="12">
      <c r="B12" s="11" t="inlineStr">
        <is>
          <t>Tasa de Obtención de Yahtzee</t>
        </is>
      </c>
      <c r="C12" s="16" t="inlineStr">
        <is>
          <t>33.78%</t>
        </is>
      </c>
      <c r="D12" s="16" t="inlineStr">
        <is>
          <t>33.62%</t>
        </is>
      </c>
      <c r="E12" s="4" t="inlineStr">
        <is>
          <t>Al menos un Yahtzee en la partida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2026-10-21T02:09:32Z</dcterms:created>
  <dcterms:modified xmlns:dcterms="http://purl.org/dc/terms/" xmlns:xsi="http://www.w3.org/2001/XMLSchema-instance" xsi:type="dcterms:W3CDTF">2026-10-21T02:09:32Z</dcterms:modified>
</cp:coreProperties>
</file>